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ortunidades" sheetId="1" r:id="rId1"/>
    <sheet name="distritos_resumen" sheetId="2" r:id="rId2"/>
    <sheet name="parametros" sheetId="3" r:id="rId3"/>
    <sheet name="log_calidad" sheetId="4" r:id="rId4"/>
  </sheets>
  <calcPr calcId="124519" fullCalcOnLoad="1"/>
</workbook>
</file>

<file path=xl/sharedStrings.xml><?xml version="1.0" encoding="utf-8"?>
<sst xmlns="http://schemas.openxmlformats.org/spreadsheetml/2006/main" count="335" uniqueCount="224">
  <si>
    <t>Distrito</t>
  </si>
  <si>
    <t>m2</t>
  </si>
  <si>
    <t>Precio</t>
  </si>
  <si>
    <t>habs</t>
  </si>
  <si>
    <t>banos</t>
  </si>
  <si>
    <t>garaje</t>
  </si>
  <si>
    <t>terraza</t>
  </si>
  <si>
    <t>Renta_estimada/mes</t>
  </si>
  <si>
    <t>Renta_Rango</t>
  </si>
  <si>
    <t>Rentabilidad_Bruta_%</t>
  </si>
  <si>
    <t>Rentabilidad_Neta_%</t>
  </si>
  <si>
    <t>Precision</t>
  </si>
  <si>
    <t>Descuento_%</t>
  </si>
  <si>
    <t>Puntuación</t>
  </si>
  <si>
    <t>Referencia 1</t>
  </si>
  <si>
    <t>Referencia 2</t>
  </si>
  <si>
    <t>Referencia 3</t>
  </si>
  <si>
    <t>Referencia 4</t>
  </si>
  <si>
    <t>Referencia 5</t>
  </si>
  <si>
    <t>Referencia 6</t>
  </si>
  <si>
    <t>Referencia 7</t>
  </si>
  <si>
    <t>Referencia 8</t>
  </si>
  <si>
    <t>Referencia 9</t>
  </si>
  <si>
    <t>Referencia 10</t>
  </si>
  <si>
    <t>Distrito Villaverde</t>
  </si>
  <si>
    <t>Distrito Zarzaquemada</t>
  </si>
  <si>
    <t>Distrito Villa de Vallecas</t>
  </si>
  <si>
    <t>Distrito Norte - Universidad</t>
  </si>
  <si>
    <t>Distrito Centro</t>
  </si>
  <si>
    <t>Distrito Vicálvaro</t>
  </si>
  <si>
    <t>Distrito El Bercial</t>
  </si>
  <si>
    <t>Distrito Suroeste</t>
  </si>
  <si>
    <t>Distrito San Nicasio - Campo de Tiro - Solagua</t>
  </si>
  <si>
    <t>Distrito La Serna</t>
  </si>
  <si>
    <t>Distrito San Isidro</t>
  </si>
  <si>
    <t>Distrito Sureste</t>
  </si>
  <si>
    <t>Distrito Valderas - Los Castillos</t>
  </si>
  <si>
    <t>Distrito Juan de la Cierva</t>
  </si>
  <si>
    <t>Distrito Getafe Centro</t>
  </si>
  <si>
    <t>1100€ - 1660€</t>
  </si>
  <si>
    <t>1330€ - 1590€</t>
  </si>
  <si>
    <t>1130€ - 1370€</t>
  </si>
  <si>
    <t>1190€ - 1330€</t>
  </si>
  <si>
    <t>990€ - 1170€</t>
  </si>
  <si>
    <t>1100€ - 1300€</t>
  </si>
  <si>
    <t>1000€ - 1480€</t>
  </si>
  <si>
    <t>1140€ - 1260€</t>
  </si>
  <si>
    <t>1050€ - 1310€</t>
  </si>
  <si>
    <t>1090€ - 1310€</t>
  </si>
  <si>
    <t>1060€ - 1220€</t>
  </si>
  <si>
    <t>1430€ - 1630€</t>
  </si>
  <si>
    <t>1070€ - 1270€</t>
  </si>
  <si>
    <t>1000€ - 1220€</t>
  </si>
  <si>
    <t>1490€ - 1650€</t>
  </si>
  <si>
    <t>1070€ - 1610€</t>
  </si>
  <si>
    <t>1080€ - 1280€</t>
  </si>
  <si>
    <t>990€ - 1210€</t>
  </si>
  <si>
    <t>1120€ - 1280€</t>
  </si>
  <si>
    <t>1024€ - 1536€</t>
  </si>
  <si>
    <t>770€ - 1150€</t>
  </si>
  <si>
    <t>1230€ - 1670€</t>
  </si>
  <si>
    <t>960€ - 1440€</t>
  </si>
  <si>
    <t>1190€ - 1350€</t>
  </si>
  <si>
    <t>488€ - 732€</t>
  </si>
  <si>
    <t>930€ - 1070€</t>
  </si>
  <si>
    <t>808€ - 1212€</t>
  </si>
  <si>
    <t>https://www.idealista.com/inmueble/109910042/</t>
  </si>
  <si>
    <t>https://www.idealista.com/inmueble/110141350/</t>
  </si>
  <si>
    <t>https://www.idealista.com/inmueble/110218462/</t>
  </si>
  <si>
    <t>https://www.idealista.com/inmueble/110149844/</t>
  </si>
  <si>
    <t>https://www.idealista.com/inmueble/110246198/</t>
  </si>
  <si>
    <t>https://www.idealista.com/inmueble/110273032/</t>
  </si>
  <si>
    <t>https://www.idealista.com/inmueble/110295237/</t>
  </si>
  <si>
    <t>https://www.idealista.com/inmueble/109854290/</t>
  </si>
  <si>
    <t>https://www.idealista.com/inmueble/110239624/</t>
  </si>
  <si>
    <t>https://www.idealista.com/inmueble/108988704/</t>
  </si>
  <si>
    <t>https://www.idealista.com/inmueble/86744349/</t>
  </si>
  <si>
    <t>https://www.idealista.com/inmueble/110270396/</t>
  </si>
  <si>
    <t>https://www.idealista.com/inmueble/110304607/</t>
  </si>
  <si>
    <t>https://www.idealista.com/inmueble/106512485/</t>
  </si>
  <si>
    <t>https://www.idealista.com/inmueble/109369148/</t>
  </si>
  <si>
    <t>https://www.idealista.com/inmueble/110317515/</t>
  </si>
  <si>
    <t>https://www.idealista.com/inmueble/109951930/</t>
  </si>
  <si>
    <t>https://www.idealista.com/inmueble/108824012/</t>
  </si>
  <si>
    <t>https://www.idealista.com/inmueble/110216289/</t>
  </si>
  <si>
    <t>https://www.idealista.com/inmueble/110027182/</t>
  </si>
  <si>
    <t>https://www.idealista.com/inmueble/110110466/</t>
  </si>
  <si>
    <t>https://www.idealista.com/inmueble/110259759/</t>
  </si>
  <si>
    <t>https://www.idealista.com/inmueble/85530143/</t>
  </si>
  <si>
    <t>https://www.idealista.com/inmueble/106981098/</t>
  </si>
  <si>
    <t>https://www.idealista.com/inmueble/103538274/</t>
  </si>
  <si>
    <t>https://www.idealista.com/inmueble/110237677/</t>
  </si>
  <si>
    <t>https://www.idealista.com/inmueble/110119680/</t>
  </si>
  <si>
    <t>https://www.idealista.com/inmueble/110241097/</t>
  </si>
  <si>
    <t>https://www.idealista.com/inmueble/110300911/</t>
  </si>
  <si>
    <t>https://www.idealista.com/inmueble/110287474/</t>
  </si>
  <si>
    <t>https://www.idealista.com/inmueble/93828671/</t>
  </si>
  <si>
    <t>https://www.idealista.com/inmueble/110303817/</t>
  </si>
  <si>
    <t>https://www.idealista.com/inmueble/109808688/</t>
  </si>
  <si>
    <t>https://www.idealista.com/inmueble/109912360/</t>
  </si>
  <si>
    <t>https://www.idealista.com/inmueble/110271535/</t>
  </si>
  <si>
    <t>https://www.idealista.com/inmueble/109988185/</t>
  </si>
  <si>
    <t>https://www.idealista.com/inmueble/108977572/</t>
  </si>
  <si>
    <t>https://www.idealista.com/inmueble/110311753/</t>
  </si>
  <si>
    <t>https://www.idealista.com/inmueble/109997864/</t>
  </si>
  <si>
    <t>https://www.idealista.com/inmueble/91402012/</t>
  </si>
  <si>
    <t>https://www.idealista.com/inmueble/110225935/</t>
  </si>
  <si>
    <t>https://www.idealista.com/inmueble/109964065/</t>
  </si>
  <si>
    <t>https://www.idealista.com/inmueble/105484643/</t>
  </si>
  <si>
    <t>https://www.idealista.com/inmueble/109091476/</t>
  </si>
  <si>
    <t>https://www.idealista.com/inmueble/106892098/</t>
  </si>
  <si>
    <t>https://www.idealista.com/inmueble/110272073/</t>
  </si>
  <si>
    <t>https://www.idealista.com/inmueble/40317656/</t>
  </si>
  <si>
    <t>https://www.idealista.com/inmueble/103653233/</t>
  </si>
  <si>
    <t>https://www.idealista.com/inmueble/110251266/</t>
  </si>
  <si>
    <t>https://www.idealista.com/inmueble/109537728/</t>
  </si>
  <si>
    <t>https://www.idealista.com/inmueble/98273734/</t>
  </si>
  <si>
    <t>https://www.idealista.com/inmueble/37807125/</t>
  </si>
  <si>
    <t>https://www.idealista.com/inmueble/110244678/</t>
  </si>
  <si>
    <t>https://www.idealista.com/inmueble/109839690/</t>
  </si>
  <si>
    <t>https://www.idealista.com/inmueble/110151847/</t>
  </si>
  <si>
    <t>https://www.idealista.com/inmueble/110229411/</t>
  </si>
  <si>
    <t>https://www.idealista.com/inmueble/82343453/</t>
  </si>
  <si>
    <t>https://www.idealista.com/inmueble/110289777/</t>
  </si>
  <si>
    <t>https://www.idealista.com/inmueble/105211479/</t>
  </si>
  <si>
    <t>https://www.idealista.com/inmueble/109648771/</t>
  </si>
  <si>
    <t>https://www.idealista.com/inmueble/110117030/</t>
  </si>
  <si>
    <t>https://www.idealista.com/inmueble/110028730/</t>
  </si>
  <si>
    <t>https://www.idealista.com/inmueble/109537866/</t>
  </si>
  <si>
    <t>https://www.idealista.com/inmueble/109225632/</t>
  </si>
  <si>
    <t>https://www.idealista.com/inmueble/110304573/</t>
  </si>
  <si>
    <t>https://www.idealista.com/inmueble/109854250/</t>
  </si>
  <si>
    <t>https://www.idealista.com/inmueble/81702341/</t>
  </si>
  <si>
    <t>https://www.idealista.com/inmueble/110201864/</t>
  </si>
  <si>
    <t>https://www.idealista.com/inmueble/84343364/</t>
  </si>
  <si>
    <t>https://www.idealista.com/inmueble/107555726/</t>
  </si>
  <si>
    <t>https://www.idealista.com/inmueble/110176292/</t>
  </si>
  <si>
    <t>https://www.idealista.com/inmueble/110285904/</t>
  </si>
  <si>
    <t>https://www.idealista.com/inmueble/109537705/</t>
  </si>
  <si>
    <t>https://www.idealista.com/inmueble/110009653/</t>
  </si>
  <si>
    <t>https://www.idealista.com/inmueble/109931071/</t>
  </si>
  <si>
    <t>https://www.idealista.com/inmueble/110177868/</t>
  </si>
  <si>
    <t>https://www.idealista.com/inmueble/110265751/</t>
  </si>
  <si>
    <t>https://www.idealista.com/inmueble/109369117/</t>
  </si>
  <si>
    <t>https://www.idealista.com/inmueble/106665765/</t>
  </si>
  <si>
    <t>https://www.idealista.com/inmueble/95251998/</t>
  </si>
  <si>
    <t>https://www.idealista.com/inmueble/109948937/</t>
  </si>
  <si>
    <t>https://www.idealista.com/inmueble/109988261/</t>
  </si>
  <si>
    <t>https://www.idealista.com/inmueble/109537753/</t>
  </si>
  <si>
    <t>https://www.idealista.com/inmueble/110020666/</t>
  </si>
  <si>
    <t>https://www.idealista.com/inmueble/104705132/</t>
  </si>
  <si>
    <t>https://www.idealista.com/inmueble/99910798/</t>
  </si>
  <si>
    <t>https://www.idealista.com/inmueble/110317136/</t>
  </si>
  <si>
    <t>https://www.idealista.com/inmueble/87024763/</t>
  </si>
  <si>
    <t>https://www.idealista.com/inmueble/109537702/</t>
  </si>
  <si>
    <t>https://www.idealista.com/inmueble/110090173/</t>
  </si>
  <si>
    <t>https://www.idealista.com/inmueble/110295236/</t>
  </si>
  <si>
    <t>https://www.idealista.com/inmueble/104293825/</t>
  </si>
  <si>
    <t>https://www.idealista.com/inmueble/109537822/</t>
  </si>
  <si>
    <t>https://www.idealista.com/inmueble/110137642/</t>
  </si>
  <si>
    <t>https://www.idealista.com/inmueble/95923078/</t>
  </si>
  <si>
    <t>https://www.idealista.com/inmueble/110228793/</t>
  </si>
  <si>
    <t>https://www.idealista.com/inmueble/109965876/</t>
  </si>
  <si>
    <t>https://www.idealista.com/inmueble/110005213/</t>
  </si>
  <si>
    <t>https://www.idealista.com/inmueble/110220023/</t>
  </si>
  <si>
    <t>https://www.idealista.com/inmueble/108729782/</t>
  </si>
  <si>
    <t>Propiedad</t>
  </si>
  <si>
    <t>prop_venta</t>
  </si>
  <si>
    <t>prop_alq</t>
  </si>
  <si>
    <t>Mediana_Venta_m2</t>
  </si>
  <si>
    <t>P25_Venta_m2</t>
  </si>
  <si>
    <t>Mediana_Alquiler_m2</t>
  </si>
  <si>
    <t>Pct_Bajo_Mercado</t>
  </si>
  <si>
    <t>Num oportunidades</t>
  </si>
  <si>
    <t>Distrito La Avanzada - La Cueva</t>
  </si>
  <si>
    <t>Humanes de Madrid</t>
  </si>
  <si>
    <t>Distrito Fuenlabrada II - El Molino</t>
  </si>
  <si>
    <t>Distrito Universidad</t>
  </si>
  <si>
    <t>Distrito Puente de Vallecas</t>
  </si>
  <si>
    <t>Distrito El Arroyo - La Fuente</t>
  </si>
  <si>
    <t>Distrito Este</t>
  </si>
  <si>
    <t>Distrito La Fortuna</t>
  </si>
  <si>
    <t>Distrito Ciudad 70</t>
  </si>
  <si>
    <t>Distrito Valleaguado - La Cañada</t>
  </si>
  <si>
    <t>Parametro</t>
  </si>
  <si>
    <t>Valor</t>
  </si>
  <si>
    <t>Descripcion</t>
  </si>
  <si>
    <t>gastos_recurrentes</t>
  </si>
  <si>
    <t>vacancia</t>
  </si>
  <si>
    <t>costes_compra</t>
  </si>
  <si>
    <t>umbral_residual_ml</t>
  </si>
  <si>
    <t>w1_descuento</t>
  </si>
  <si>
    <t>w2_yield</t>
  </si>
  <si>
    <t>w3_rebajado</t>
  </si>
  <si>
    <t>w4_zscore</t>
  </si>
  <si>
    <t>w5_comps</t>
  </si>
  <si>
    <t>15%</t>
  </si>
  <si>
    <t>5%</t>
  </si>
  <si>
    <t>10%</t>
  </si>
  <si>
    <t>-10%</t>
  </si>
  <si>
    <t>Gastos sobre renta (comunidad, IBI, seguros)</t>
  </si>
  <si>
    <t>Vacancia estimada anual</t>
  </si>
  <si>
    <t>Costes de compra (impuestos, notaria)</t>
  </si>
  <si>
    <t>Umbral para modelo ML</t>
  </si>
  <si>
    <t>Peso: descuento vs mercado</t>
  </si>
  <si>
    <t>Peso: yield bruta</t>
  </si>
  <si>
    <t>Peso: ya rebajado</t>
  </si>
  <si>
    <t>Peso: z-score</t>
  </si>
  <si>
    <t>Peso: comparables</t>
  </si>
  <si>
    <t>phase</t>
  </si>
  <si>
    <t>dataset</t>
  </si>
  <si>
    <t>rows</t>
  </si>
  <si>
    <t>note</t>
  </si>
  <si>
    <t>load</t>
  </si>
  <si>
    <t>clean</t>
  </si>
  <si>
    <t>VENTA</t>
  </si>
  <si>
    <t>ALQUILER</t>
  </si>
  <si>
    <t>initial</t>
  </si>
  <si>
    <t>excluded nuda propiedad (bool + text)</t>
  </si>
  <si>
    <t>excluded okupado (bool + text)</t>
  </si>
  <si>
    <t>excluded copropiedad (bool + text)</t>
  </si>
  <si>
    <t>interactive filters (basic)</t>
  </si>
  <si>
    <t>excluded non-common distrito</t>
  </si>
  <si>
    <t>final</t>
  </si>
</sst>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dealista.com/inmueble/109910042/" TargetMode="External"/><Relationship Id="rId2" Type="http://schemas.openxmlformats.org/officeDocument/2006/relationships/hyperlink" Target="https://www.idealista.com/inmueble/110259759/" TargetMode="External"/><Relationship Id="rId3" Type="http://schemas.openxmlformats.org/officeDocument/2006/relationships/hyperlink" Target="https://www.idealista.com/inmueble/109997864/" TargetMode="External"/><Relationship Id="rId4" Type="http://schemas.openxmlformats.org/officeDocument/2006/relationships/hyperlink" Target="https://www.idealista.com/inmueble/110244678/" TargetMode="External"/><Relationship Id="rId5" Type="http://schemas.openxmlformats.org/officeDocument/2006/relationships/hyperlink" Target="https://www.idealista.com/inmueble/110141350/" TargetMode="External"/><Relationship Id="rId6" Type="http://schemas.openxmlformats.org/officeDocument/2006/relationships/hyperlink" Target="https://www.idealista.com/inmueble/85530143/" TargetMode="External"/><Relationship Id="rId7" Type="http://schemas.openxmlformats.org/officeDocument/2006/relationships/hyperlink" Target="https://www.idealista.com/inmueble/91402012/" TargetMode="External"/><Relationship Id="rId8" Type="http://schemas.openxmlformats.org/officeDocument/2006/relationships/hyperlink" Target="https://www.idealista.com/inmueble/109839690/" TargetMode="External"/><Relationship Id="rId9" Type="http://schemas.openxmlformats.org/officeDocument/2006/relationships/hyperlink" Target="https://www.idealista.com/inmueble/86744349/" TargetMode="External"/><Relationship Id="rId10" Type="http://schemas.openxmlformats.org/officeDocument/2006/relationships/hyperlink" Target="https://www.idealista.com/inmueble/110201864/" TargetMode="External"/><Relationship Id="rId11" Type="http://schemas.openxmlformats.org/officeDocument/2006/relationships/hyperlink" Target="https://www.idealista.com/inmueble/40317656/" TargetMode="External"/><Relationship Id="rId12" Type="http://schemas.openxmlformats.org/officeDocument/2006/relationships/hyperlink" Target="https://www.idealista.com/inmueble/110287474/" TargetMode="External"/><Relationship Id="rId13" Type="http://schemas.openxmlformats.org/officeDocument/2006/relationships/hyperlink" Target="https://www.idealista.com/inmueble/110289777/" TargetMode="External"/><Relationship Id="rId14" Type="http://schemas.openxmlformats.org/officeDocument/2006/relationships/hyperlink" Target="https://www.idealista.com/inmueble/95251998/" TargetMode="External"/><Relationship Id="rId15" Type="http://schemas.openxmlformats.org/officeDocument/2006/relationships/hyperlink" Target="https://www.idealista.com/inmueble/110218462/" TargetMode="External"/><Relationship Id="rId16" Type="http://schemas.openxmlformats.org/officeDocument/2006/relationships/hyperlink" Target="https://www.idealista.com/inmueble/110149844/" TargetMode="External"/><Relationship Id="rId17" Type="http://schemas.openxmlformats.org/officeDocument/2006/relationships/hyperlink" Target="https://www.idealista.com/inmueble/106981098/" TargetMode="External"/><Relationship Id="rId18" Type="http://schemas.openxmlformats.org/officeDocument/2006/relationships/hyperlink" Target="https://www.idealista.com/inmueble/110225935/" TargetMode="External"/><Relationship Id="rId19" Type="http://schemas.openxmlformats.org/officeDocument/2006/relationships/hyperlink" Target="https://www.idealista.com/inmueble/109854290/" TargetMode="External"/><Relationship Id="rId20" Type="http://schemas.openxmlformats.org/officeDocument/2006/relationships/hyperlink" Target="https://www.idealista.com/inmueble/109931071/" TargetMode="External"/><Relationship Id="rId21" Type="http://schemas.openxmlformats.org/officeDocument/2006/relationships/hyperlink" Target="https://www.idealista.com/inmueble/109854250/" TargetMode="External"/><Relationship Id="rId22" Type="http://schemas.openxmlformats.org/officeDocument/2006/relationships/hyperlink" Target="https://www.idealista.com/inmueble/109369117/" TargetMode="External"/><Relationship Id="rId23" Type="http://schemas.openxmlformats.org/officeDocument/2006/relationships/hyperlink" Target="https://www.idealista.com/inmueble/109839690/" TargetMode="External"/><Relationship Id="rId24" Type="http://schemas.openxmlformats.org/officeDocument/2006/relationships/hyperlink" Target="https://www.idealista.com/inmueble/110149844/" TargetMode="External"/><Relationship Id="rId25" Type="http://schemas.openxmlformats.org/officeDocument/2006/relationships/hyperlink" Target="https://www.idealista.com/inmueble/106981098/" TargetMode="External"/><Relationship Id="rId26" Type="http://schemas.openxmlformats.org/officeDocument/2006/relationships/hyperlink" Target="https://www.idealista.com/inmueble/110225935/" TargetMode="External"/><Relationship Id="rId27" Type="http://schemas.openxmlformats.org/officeDocument/2006/relationships/hyperlink" Target="https://www.idealista.com/inmueble/110218462/" TargetMode="External"/><Relationship Id="rId28" Type="http://schemas.openxmlformats.org/officeDocument/2006/relationships/hyperlink" Target="https://www.idealista.com/inmueble/109854290/" TargetMode="External"/><Relationship Id="rId29" Type="http://schemas.openxmlformats.org/officeDocument/2006/relationships/hyperlink" Target="https://www.idealista.com/inmueble/109854250/" TargetMode="External"/><Relationship Id="rId30" Type="http://schemas.openxmlformats.org/officeDocument/2006/relationships/hyperlink" Target="https://www.idealista.com/inmueble/109369117/" TargetMode="External"/><Relationship Id="rId31" Type="http://schemas.openxmlformats.org/officeDocument/2006/relationships/hyperlink" Target="https://www.idealista.com/inmueble/109931071/" TargetMode="External"/><Relationship Id="rId32" Type="http://schemas.openxmlformats.org/officeDocument/2006/relationships/hyperlink" Target="https://www.idealista.com/inmueble/110246198/" TargetMode="External"/><Relationship Id="rId33" Type="http://schemas.openxmlformats.org/officeDocument/2006/relationships/hyperlink" Target="https://www.idealista.com/inmueble/103538274/" TargetMode="External"/><Relationship Id="rId34" Type="http://schemas.openxmlformats.org/officeDocument/2006/relationships/hyperlink" Target="https://www.idealista.com/inmueble/109964065/" TargetMode="External"/><Relationship Id="rId35" Type="http://schemas.openxmlformats.org/officeDocument/2006/relationships/hyperlink" Target="https://www.idealista.com/inmueble/110151847/" TargetMode="External"/><Relationship Id="rId36" Type="http://schemas.openxmlformats.org/officeDocument/2006/relationships/hyperlink" Target="https://www.idealista.com/inmueble/110304573/" TargetMode="External"/><Relationship Id="rId37" Type="http://schemas.openxmlformats.org/officeDocument/2006/relationships/hyperlink" Target="https://www.idealista.com/inmueble/110177868/" TargetMode="External"/><Relationship Id="rId38" Type="http://schemas.openxmlformats.org/officeDocument/2006/relationships/hyperlink" Target="https://www.idealista.com/inmueble/110149844/" TargetMode="External"/><Relationship Id="rId39" Type="http://schemas.openxmlformats.org/officeDocument/2006/relationships/hyperlink" Target="https://www.idealista.com/inmueble/106981098/" TargetMode="External"/><Relationship Id="rId40" Type="http://schemas.openxmlformats.org/officeDocument/2006/relationships/hyperlink" Target="https://www.idealista.com/inmueble/110225935/" TargetMode="External"/><Relationship Id="rId41" Type="http://schemas.openxmlformats.org/officeDocument/2006/relationships/hyperlink" Target="https://www.idealista.com/inmueble/110218462/" TargetMode="External"/><Relationship Id="rId42" Type="http://schemas.openxmlformats.org/officeDocument/2006/relationships/hyperlink" Target="https://www.idealista.com/inmueble/109854290/" TargetMode="External"/><Relationship Id="rId43" Type="http://schemas.openxmlformats.org/officeDocument/2006/relationships/hyperlink" Target="https://www.idealista.com/inmueble/109854250/" TargetMode="External"/><Relationship Id="rId44" Type="http://schemas.openxmlformats.org/officeDocument/2006/relationships/hyperlink" Target="https://www.idealista.com/inmueble/109369117/" TargetMode="External"/><Relationship Id="rId45" Type="http://schemas.openxmlformats.org/officeDocument/2006/relationships/hyperlink" Target="https://www.idealista.com/inmueble/109931071/" TargetMode="External"/><Relationship Id="rId46" Type="http://schemas.openxmlformats.org/officeDocument/2006/relationships/hyperlink" Target="https://www.idealista.com/inmueble/109839690/" TargetMode="External"/><Relationship Id="rId47" Type="http://schemas.openxmlformats.org/officeDocument/2006/relationships/hyperlink" Target="https://www.idealista.com/inmueble/109965876/" TargetMode="External"/><Relationship Id="rId48" Type="http://schemas.openxmlformats.org/officeDocument/2006/relationships/hyperlink" Target="https://www.idealista.com/inmueble/110273032/" TargetMode="External"/><Relationship Id="rId49" Type="http://schemas.openxmlformats.org/officeDocument/2006/relationships/hyperlink" Target="https://www.idealista.com/inmueble/110237677/" TargetMode="External"/><Relationship Id="rId50" Type="http://schemas.openxmlformats.org/officeDocument/2006/relationships/hyperlink" Target="https://www.idealista.com/inmueble/105484643/" TargetMode="External"/><Relationship Id="rId51" Type="http://schemas.openxmlformats.org/officeDocument/2006/relationships/hyperlink" Target="https://www.idealista.com/inmueble/110295237/" TargetMode="External"/><Relationship Id="rId52" Type="http://schemas.openxmlformats.org/officeDocument/2006/relationships/hyperlink" Target="https://www.idealista.com/inmueble/110119680/" TargetMode="External"/><Relationship Id="rId53" Type="http://schemas.openxmlformats.org/officeDocument/2006/relationships/hyperlink" Target="https://www.idealista.com/inmueble/110265751/" TargetMode="External"/><Relationship Id="rId54" Type="http://schemas.openxmlformats.org/officeDocument/2006/relationships/hyperlink" Target="https://www.idealista.com/inmueble/104705132/" TargetMode="External"/><Relationship Id="rId55" Type="http://schemas.openxmlformats.org/officeDocument/2006/relationships/hyperlink" Target="https://www.idealista.com/inmueble/110295236/" TargetMode="External"/><Relationship Id="rId56" Type="http://schemas.openxmlformats.org/officeDocument/2006/relationships/hyperlink" Target="https://www.idealista.com/inmueble/110137642/" TargetMode="External"/><Relationship Id="rId57" Type="http://schemas.openxmlformats.org/officeDocument/2006/relationships/hyperlink" Target="https://www.idealista.com/inmueble/110005213/" TargetMode="External"/><Relationship Id="rId58" Type="http://schemas.openxmlformats.org/officeDocument/2006/relationships/hyperlink" Target="https://www.idealista.com/inmueble/110295237/" TargetMode="External"/><Relationship Id="rId59" Type="http://schemas.openxmlformats.org/officeDocument/2006/relationships/hyperlink" Target="https://www.idealista.com/inmueble/110119680/" TargetMode="External"/><Relationship Id="rId60" Type="http://schemas.openxmlformats.org/officeDocument/2006/relationships/hyperlink" Target="https://www.idealista.com/inmueble/109091476/" TargetMode="External"/><Relationship Id="rId61" Type="http://schemas.openxmlformats.org/officeDocument/2006/relationships/hyperlink" Target="https://www.idealista.com/inmueble/109854290/" TargetMode="External"/><Relationship Id="rId62" Type="http://schemas.openxmlformats.org/officeDocument/2006/relationships/hyperlink" Target="https://www.idealista.com/inmueble/110149844/" TargetMode="External"/><Relationship Id="rId63" Type="http://schemas.openxmlformats.org/officeDocument/2006/relationships/hyperlink" Target="https://www.idealista.com/inmueble/110225935/" TargetMode="External"/><Relationship Id="rId64" Type="http://schemas.openxmlformats.org/officeDocument/2006/relationships/hyperlink" Target="https://www.idealista.com/inmueble/106981098/" TargetMode="External"/><Relationship Id="rId65" Type="http://schemas.openxmlformats.org/officeDocument/2006/relationships/hyperlink" Target="https://www.idealista.com/inmueble/109854250/" TargetMode="External"/><Relationship Id="rId66" Type="http://schemas.openxmlformats.org/officeDocument/2006/relationships/hyperlink" Target="https://www.idealista.com/inmueble/109369117/" TargetMode="External"/><Relationship Id="rId67" Type="http://schemas.openxmlformats.org/officeDocument/2006/relationships/hyperlink" Target="https://www.idealista.com/inmueble/110218462/" TargetMode="External"/><Relationship Id="rId68" Type="http://schemas.openxmlformats.org/officeDocument/2006/relationships/hyperlink" Target="https://www.idealista.com/inmueble/110295237/" TargetMode="External"/><Relationship Id="rId69" Type="http://schemas.openxmlformats.org/officeDocument/2006/relationships/hyperlink" Target="https://www.idealista.com/inmueble/110119680/" TargetMode="External"/><Relationship Id="rId70" Type="http://schemas.openxmlformats.org/officeDocument/2006/relationships/hyperlink" Target="https://www.idealista.com/inmueble/110273032/" TargetMode="External"/><Relationship Id="rId71" Type="http://schemas.openxmlformats.org/officeDocument/2006/relationships/hyperlink" Target="https://www.idealista.com/inmueble/110239624/" TargetMode="External"/><Relationship Id="rId72" Type="http://schemas.openxmlformats.org/officeDocument/2006/relationships/hyperlink" Target="https://www.idealista.com/inmueble/110241097/" TargetMode="External"/><Relationship Id="rId73" Type="http://schemas.openxmlformats.org/officeDocument/2006/relationships/hyperlink" Target="https://www.idealista.com/inmueble/106892098/" TargetMode="External"/><Relationship Id="rId74" Type="http://schemas.openxmlformats.org/officeDocument/2006/relationships/hyperlink" Target="https://www.idealista.com/inmueble/110229411/" TargetMode="External"/><Relationship Id="rId75" Type="http://schemas.openxmlformats.org/officeDocument/2006/relationships/hyperlink" Target="https://www.idealista.com/inmueble/81702341/" TargetMode="External"/><Relationship Id="rId76" Type="http://schemas.openxmlformats.org/officeDocument/2006/relationships/hyperlink" Target="https://www.idealista.com/inmueble/106665765/" TargetMode="External"/><Relationship Id="rId77" Type="http://schemas.openxmlformats.org/officeDocument/2006/relationships/hyperlink" Target="https://www.idealista.com/inmueble/99910798/" TargetMode="External"/><Relationship Id="rId78" Type="http://schemas.openxmlformats.org/officeDocument/2006/relationships/hyperlink" Target="https://www.idealista.com/inmueble/110265751/" TargetMode="External"/><Relationship Id="rId79" Type="http://schemas.openxmlformats.org/officeDocument/2006/relationships/hyperlink" Target="https://www.idealista.com/inmueble/104705132/" TargetMode="External"/><Relationship Id="rId80" Type="http://schemas.openxmlformats.org/officeDocument/2006/relationships/hyperlink" Target="https://www.idealista.com/inmueble/108988704/" TargetMode="External"/><Relationship Id="rId81" Type="http://schemas.openxmlformats.org/officeDocument/2006/relationships/hyperlink" Target="https://www.idealista.com/inmueble/110300911/" TargetMode="External"/><Relationship Id="rId82" Type="http://schemas.openxmlformats.org/officeDocument/2006/relationships/hyperlink" Target="https://www.idealista.com/inmueble/110272073/" TargetMode="External"/><Relationship Id="rId83" Type="http://schemas.openxmlformats.org/officeDocument/2006/relationships/hyperlink" Target="https://www.idealista.com/inmueble/82343453/" TargetMode="External"/><Relationship Id="rId84" Type="http://schemas.openxmlformats.org/officeDocument/2006/relationships/hyperlink" Target="https://www.idealista.com/inmueble/86744349/" TargetMode="External"/><Relationship Id="rId85" Type="http://schemas.openxmlformats.org/officeDocument/2006/relationships/hyperlink" Target="https://www.idealista.com/inmueble/110287474/" TargetMode="External"/><Relationship Id="rId86" Type="http://schemas.openxmlformats.org/officeDocument/2006/relationships/hyperlink" Target="https://www.idealista.com/inmueble/40317656/" TargetMode="External"/><Relationship Id="rId87" Type="http://schemas.openxmlformats.org/officeDocument/2006/relationships/hyperlink" Target="https://www.idealista.com/inmueble/110289777/" TargetMode="External"/><Relationship Id="rId88" Type="http://schemas.openxmlformats.org/officeDocument/2006/relationships/hyperlink" Target="https://www.idealista.com/inmueble/110201864/" TargetMode="External"/><Relationship Id="rId89" Type="http://schemas.openxmlformats.org/officeDocument/2006/relationships/hyperlink" Target="https://www.idealista.com/inmueble/95251998/" TargetMode="External"/><Relationship Id="rId90" Type="http://schemas.openxmlformats.org/officeDocument/2006/relationships/hyperlink" Target="https://www.idealista.com/inmueble/110270396/" TargetMode="External"/><Relationship Id="rId91" Type="http://schemas.openxmlformats.org/officeDocument/2006/relationships/hyperlink" Target="https://www.idealista.com/inmueble/110317515/" TargetMode="External"/><Relationship Id="rId92" Type="http://schemas.openxmlformats.org/officeDocument/2006/relationships/hyperlink" Target="https://www.idealista.com/inmueble/109912360/" TargetMode="External"/><Relationship Id="rId93" Type="http://schemas.openxmlformats.org/officeDocument/2006/relationships/hyperlink" Target="https://www.idealista.com/inmueble/105211479/" TargetMode="External"/><Relationship Id="rId94" Type="http://schemas.openxmlformats.org/officeDocument/2006/relationships/hyperlink" Target="https://www.idealista.com/inmueble/84343364/" TargetMode="External"/><Relationship Id="rId95" Type="http://schemas.openxmlformats.org/officeDocument/2006/relationships/hyperlink" Target="https://www.idealista.com/inmueble/110028730/" TargetMode="External"/><Relationship Id="rId96" Type="http://schemas.openxmlformats.org/officeDocument/2006/relationships/hyperlink" Target="https://www.idealista.com/inmueble/110285904/" TargetMode="External"/><Relationship Id="rId97" Type="http://schemas.openxmlformats.org/officeDocument/2006/relationships/hyperlink" Target="https://www.idealista.com/inmueble/110304607/" TargetMode="External"/><Relationship Id="rId98" Type="http://schemas.openxmlformats.org/officeDocument/2006/relationships/hyperlink" Target="https://www.idealista.com/inmueble/93828671/" TargetMode="External"/><Relationship Id="rId99" Type="http://schemas.openxmlformats.org/officeDocument/2006/relationships/hyperlink" Target="https://www.idealista.com/inmueble/103653233/" TargetMode="External"/><Relationship Id="rId100" Type="http://schemas.openxmlformats.org/officeDocument/2006/relationships/hyperlink" Target="https://www.idealista.com/inmueble/109648771/" TargetMode="External"/><Relationship Id="rId101" Type="http://schemas.openxmlformats.org/officeDocument/2006/relationships/hyperlink" Target="https://www.idealista.com/inmueble/107555726/" TargetMode="External"/><Relationship Id="rId102" Type="http://schemas.openxmlformats.org/officeDocument/2006/relationships/hyperlink" Target="https://www.idealista.com/inmueble/109948937/" TargetMode="External"/><Relationship Id="rId103" Type="http://schemas.openxmlformats.org/officeDocument/2006/relationships/hyperlink" Target="https://www.idealista.com/inmueble/110317136/" TargetMode="External"/><Relationship Id="rId104" Type="http://schemas.openxmlformats.org/officeDocument/2006/relationships/hyperlink" Target="https://www.idealista.com/inmueble/106512485/" TargetMode="External"/><Relationship Id="rId105" Type="http://schemas.openxmlformats.org/officeDocument/2006/relationships/hyperlink" Target="https://www.idealista.com/inmueble/110303817/" TargetMode="External"/><Relationship Id="rId106" Type="http://schemas.openxmlformats.org/officeDocument/2006/relationships/hyperlink" Target="https://www.idealista.com/inmueble/110251266/" TargetMode="External"/><Relationship Id="rId107" Type="http://schemas.openxmlformats.org/officeDocument/2006/relationships/hyperlink" Target="https://www.idealista.com/inmueble/110117030/" TargetMode="External"/><Relationship Id="rId108" Type="http://schemas.openxmlformats.org/officeDocument/2006/relationships/hyperlink" Target="https://www.idealista.com/inmueble/110176292/" TargetMode="External"/><Relationship Id="rId109" Type="http://schemas.openxmlformats.org/officeDocument/2006/relationships/hyperlink" Target="https://www.idealista.com/inmueble/109988261/" TargetMode="External"/><Relationship Id="rId110" Type="http://schemas.openxmlformats.org/officeDocument/2006/relationships/hyperlink" Target="https://www.idealista.com/inmueble/87024763/" TargetMode="External"/><Relationship Id="rId111" Type="http://schemas.openxmlformats.org/officeDocument/2006/relationships/hyperlink" Target="https://www.idealista.com/inmueble/104293825/" TargetMode="External"/><Relationship Id="rId112" Type="http://schemas.openxmlformats.org/officeDocument/2006/relationships/hyperlink" Target="https://www.idealista.com/inmueble/95923078/" TargetMode="External"/><Relationship Id="rId113" Type="http://schemas.openxmlformats.org/officeDocument/2006/relationships/hyperlink" Target="https://www.idealista.com/inmueble/110220023/" TargetMode="External"/><Relationship Id="rId114" Type="http://schemas.openxmlformats.org/officeDocument/2006/relationships/hyperlink" Target="https://www.idealista.com/inmueble/109369148/" TargetMode="External"/><Relationship Id="rId115" Type="http://schemas.openxmlformats.org/officeDocument/2006/relationships/hyperlink" Target="https://www.idealista.com/inmueble/109808688/" TargetMode="External"/><Relationship Id="rId116" Type="http://schemas.openxmlformats.org/officeDocument/2006/relationships/hyperlink" Target="https://www.idealista.com/inmueble/110270396/" TargetMode="External"/><Relationship Id="rId117" Type="http://schemas.openxmlformats.org/officeDocument/2006/relationships/hyperlink" Target="https://www.idealista.com/inmueble/110317515/" TargetMode="External"/><Relationship Id="rId118" Type="http://schemas.openxmlformats.org/officeDocument/2006/relationships/hyperlink" Target="https://www.idealista.com/inmueble/109912360/" TargetMode="External"/><Relationship Id="rId119" Type="http://schemas.openxmlformats.org/officeDocument/2006/relationships/hyperlink" Target="https://www.idealista.com/inmueble/105211479/" TargetMode="External"/><Relationship Id="rId120" Type="http://schemas.openxmlformats.org/officeDocument/2006/relationships/hyperlink" Target="https://www.idealista.com/inmueble/110285904/" TargetMode="External"/><Relationship Id="rId121" Type="http://schemas.openxmlformats.org/officeDocument/2006/relationships/hyperlink" Target="https://www.idealista.com/inmueble/110028730/" TargetMode="External"/><Relationship Id="rId122" Type="http://schemas.openxmlformats.org/officeDocument/2006/relationships/hyperlink" Target="https://www.idealista.com/inmueble/84343364/" TargetMode="External"/><Relationship Id="rId123" Type="http://schemas.openxmlformats.org/officeDocument/2006/relationships/hyperlink" Target="https://www.idealista.com/inmueble/110270396/" TargetMode="External"/><Relationship Id="rId124" Type="http://schemas.openxmlformats.org/officeDocument/2006/relationships/hyperlink" Target="https://www.idealista.com/inmueble/110317515/" TargetMode="External"/><Relationship Id="rId125" Type="http://schemas.openxmlformats.org/officeDocument/2006/relationships/hyperlink" Target="https://www.idealista.com/inmueble/109912360/" TargetMode="External"/><Relationship Id="rId126" Type="http://schemas.openxmlformats.org/officeDocument/2006/relationships/hyperlink" Target="https://www.idealista.com/inmueble/105211479/" TargetMode="External"/><Relationship Id="rId127" Type="http://schemas.openxmlformats.org/officeDocument/2006/relationships/hyperlink" Target="https://www.idealista.com/inmueble/110285904/" TargetMode="External"/><Relationship Id="rId128" Type="http://schemas.openxmlformats.org/officeDocument/2006/relationships/hyperlink" Target="https://www.idealista.com/inmueble/110028730/" TargetMode="External"/><Relationship Id="rId129" Type="http://schemas.openxmlformats.org/officeDocument/2006/relationships/hyperlink" Target="https://www.idealista.com/inmueble/84343364/" TargetMode="External"/><Relationship Id="rId130" Type="http://schemas.openxmlformats.org/officeDocument/2006/relationships/hyperlink" Target="https://www.idealista.com/inmueble/110317515/" TargetMode="External"/><Relationship Id="rId131" Type="http://schemas.openxmlformats.org/officeDocument/2006/relationships/hyperlink" Target="https://www.idealista.com/inmueble/109912360/" TargetMode="External"/><Relationship Id="rId132" Type="http://schemas.openxmlformats.org/officeDocument/2006/relationships/hyperlink" Target="https://www.idealista.com/inmueble/110270396/" TargetMode="External"/><Relationship Id="rId133" Type="http://schemas.openxmlformats.org/officeDocument/2006/relationships/hyperlink" Target="https://www.idealista.com/inmueble/110028730/" TargetMode="External"/><Relationship Id="rId134" Type="http://schemas.openxmlformats.org/officeDocument/2006/relationships/hyperlink" Target="https://www.idealista.com/inmueble/84343364/" TargetMode="External"/><Relationship Id="rId135" Type="http://schemas.openxmlformats.org/officeDocument/2006/relationships/hyperlink" Target="https://www.idealista.com/inmueble/105211479/" TargetMode="External"/><Relationship Id="rId136" Type="http://schemas.openxmlformats.org/officeDocument/2006/relationships/hyperlink" Target="https://www.idealista.com/inmueble/109951930/" TargetMode="External"/><Relationship Id="rId137" Type="http://schemas.openxmlformats.org/officeDocument/2006/relationships/hyperlink" Target="https://www.idealista.com/inmueble/110271535/" TargetMode="External"/><Relationship Id="rId138" Type="http://schemas.openxmlformats.org/officeDocument/2006/relationships/hyperlink" Target="https://www.idealista.com/inmueble/109537728/" TargetMode="External"/><Relationship Id="rId139" Type="http://schemas.openxmlformats.org/officeDocument/2006/relationships/hyperlink" Target="https://www.idealista.com/inmueble/109537866/" TargetMode="External"/><Relationship Id="rId140" Type="http://schemas.openxmlformats.org/officeDocument/2006/relationships/hyperlink" Target="https://www.idealista.com/inmueble/109537705/" TargetMode="External"/><Relationship Id="rId141" Type="http://schemas.openxmlformats.org/officeDocument/2006/relationships/hyperlink" Target="https://www.idealista.com/inmueble/109537753/" TargetMode="External"/><Relationship Id="rId142" Type="http://schemas.openxmlformats.org/officeDocument/2006/relationships/hyperlink" Target="https://www.idealista.com/inmueble/109537702/" TargetMode="External"/><Relationship Id="rId143" Type="http://schemas.openxmlformats.org/officeDocument/2006/relationships/hyperlink" Target="https://www.idealista.com/inmueble/109537822/" TargetMode="External"/><Relationship Id="rId144" Type="http://schemas.openxmlformats.org/officeDocument/2006/relationships/hyperlink" Target="https://www.idealista.com/inmueble/110228793/" TargetMode="External"/><Relationship Id="rId145" Type="http://schemas.openxmlformats.org/officeDocument/2006/relationships/hyperlink" Target="https://www.idealista.com/inmueble/108729782/" TargetMode="External"/><Relationship Id="rId146" Type="http://schemas.openxmlformats.org/officeDocument/2006/relationships/hyperlink" Target="https://www.idealista.com/inmueble/108824012/" TargetMode="External"/><Relationship Id="rId147" Type="http://schemas.openxmlformats.org/officeDocument/2006/relationships/hyperlink" Target="https://www.idealista.com/inmueble/109988185/" TargetMode="External"/><Relationship Id="rId148" Type="http://schemas.openxmlformats.org/officeDocument/2006/relationships/hyperlink" Target="https://www.idealista.com/inmueble/98273734/" TargetMode="External"/><Relationship Id="rId149" Type="http://schemas.openxmlformats.org/officeDocument/2006/relationships/hyperlink" Target="https://www.idealista.com/inmueble/110216289/" TargetMode="External"/><Relationship Id="rId150" Type="http://schemas.openxmlformats.org/officeDocument/2006/relationships/hyperlink" Target="https://www.idealista.com/inmueble/110027182/" TargetMode="External"/><Relationship Id="rId151" Type="http://schemas.openxmlformats.org/officeDocument/2006/relationships/hyperlink" Target="https://www.idealista.com/inmueble/108977572/" TargetMode="External"/><Relationship Id="rId152" Type="http://schemas.openxmlformats.org/officeDocument/2006/relationships/hyperlink" Target="https://www.idealista.com/inmueble/37807125/" TargetMode="External"/><Relationship Id="rId153" Type="http://schemas.openxmlformats.org/officeDocument/2006/relationships/hyperlink" Target="https://www.idealista.com/inmueble/109225632/" TargetMode="External"/><Relationship Id="rId154" Type="http://schemas.openxmlformats.org/officeDocument/2006/relationships/hyperlink" Target="https://www.idealista.com/inmueble/110009653/" TargetMode="External"/><Relationship Id="rId155" Type="http://schemas.openxmlformats.org/officeDocument/2006/relationships/hyperlink" Target="https://www.idealista.com/inmueble/110020666/" TargetMode="External"/><Relationship Id="rId156" Type="http://schemas.openxmlformats.org/officeDocument/2006/relationships/hyperlink" Target="https://www.idealista.com/inmueble/110090173/" TargetMode="External"/><Relationship Id="rId157" Type="http://schemas.openxmlformats.org/officeDocument/2006/relationships/hyperlink" Target="https://www.idealista.com/inmueble/110110466/" TargetMode="External"/><Relationship Id="rId158" Type="http://schemas.openxmlformats.org/officeDocument/2006/relationships/hyperlink" Target="https://www.idealista.com/inmueble/11031175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0"/>
  <sheetViews>
    <sheetView tabSelected="1" workbookViewId="0"/>
  </sheetViews>
  <sheetFormatPr defaultRowHeight="15"/>
  <cols>
    <col min="1" max="1" width="50.7109375" customWidth="1"/>
    <col min="2" max="2" width="20.7109375" customWidth="1"/>
    <col min="4" max="5" width="15.7109375" style="1" customWidth="1"/>
    <col min="6" max="8" width="12.7109375" style="2" customWidth="1"/>
    <col min="9" max="9" width="10.7109375" customWidth="1"/>
  </cols>
  <sheetData>
    <row r="1" spans="1:25">
      <c r="A1" t="s">
        <v>166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</row>
    <row r="2" spans="1:25">
      <c r="A2" s="4">
        <f>HYPERLINK("https://www.idealista.com/inmueble/110299839/", "Piso en venta en Calle de los Cacereños, 40")</f>
        <v>0</v>
      </c>
      <c r="B2" t="s">
        <v>24</v>
      </c>
      <c r="C2">
        <v>81</v>
      </c>
      <c r="D2" s="1">
        <v>167900</v>
      </c>
      <c r="E2" s="1">
        <v>2</v>
      </c>
      <c r="F2" s="2">
        <v>1</v>
      </c>
      <c r="G2" s="2" t="b">
        <v>0</v>
      </c>
      <c r="H2" s="2" t="b">
        <v>0</v>
      </c>
      <c r="I2">
        <v>1380</v>
      </c>
      <c r="J2" t="s">
        <v>39</v>
      </c>
      <c r="K2">
        <v>0.09863013698630137</v>
      </c>
      <c r="L2">
        <v>0.07240348692403485</v>
      </c>
      <c r="M2">
        <v>63.3</v>
      </c>
      <c r="N2">
        <v>0.2429031134067104</v>
      </c>
      <c r="O2">
        <v>72.8</v>
      </c>
      <c r="P2" s="5" t="s">
        <v>66</v>
      </c>
      <c r="Q2" s="5" t="s">
        <v>87</v>
      </c>
      <c r="R2" s="5" t="s">
        <v>104</v>
      </c>
      <c r="S2" s="5" t="s">
        <v>118</v>
      </c>
    </row>
    <row r="3" spans="1:25">
      <c r="A3" s="4">
        <f>HYPERLINK("https://www.idealista.com/inmueble/109382661/", "Piso en venta en Villaverde Alto")</f>
        <v>0</v>
      </c>
      <c r="B3" t="s">
        <v>24</v>
      </c>
      <c r="C3">
        <v>111</v>
      </c>
      <c r="D3" s="1">
        <v>225000</v>
      </c>
      <c r="E3" s="1">
        <v>4</v>
      </c>
      <c r="F3" s="2">
        <v>1</v>
      </c>
      <c r="G3" s="2" t="b">
        <v>0</v>
      </c>
      <c r="H3" s="2" t="b">
        <v>0</v>
      </c>
      <c r="I3">
        <v>1460</v>
      </c>
      <c r="J3" t="s">
        <v>40</v>
      </c>
      <c r="K3">
        <v>0.07786666666666667</v>
      </c>
      <c r="L3">
        <v>0.05716121212121211</v>
      </c>
      <c r="M3">
        <v>76.5</v>
      </c>
      <c r="N3">
        <v>0.2596359502834323</v>
      </c>
      <c r="O3">
        <v>68</v>
      </c>
      <c r="P3" s="5" t="s">
        <v>67</v>
      </c>
      <c r="Q3" s="5" t="s">
        <v>88</v>
      </c>
      <c r="R3" s="5" t="s">
        <v>105</v>
      </c>
      <c r="S3" s="5" t="s">
        <v>119</v>
      </c>
      <c r="T3" s="5" t="s">
        <v>76</v>
      </c>
      <c r="U3" s="5" t="s">
        <v>133</v>
      </c>
      <c r="V3" s="5" t="s">
        <v>112</v>
      </c>
      <c r="W3" s="5" t="s">
        <v>95</v>
      </c>
      <c r="X3" s="5" t="s">
        <v>123</v>
      </c>
      <c r="Y3" s="5" t="s">
        <v>145</v>
      </c>
    </row>
    <row r="4" spans="1:25">
      <c r="A4" s="4">
        <f>HYPERLINK("https://www.idealista.com/inmueble/110109332/", "Piso en venta en San Cristóbal")</f>
        <v>0</v>
      </c>
      <c r="B4" t="s">
        <v>24</v>
      </c>
      <c r="C4">
        <v>66</v>
      </c>
      <c r="D4" s="1">
        <v>149999</v>
      </c>
      <c r="E4" s="1">
        <v>3</v>
      </c>
      <c r="F4" s="2">
        <v>1</v>
      </c>
      <c r="G4" s="2" t="b">
        <v>0</v>
      </c>
      <c r="H4" s="2" t="b">
        <v>0</v>
      </c>
      <c r="I4">
        <v>1250</v>
      </c>
      <c r="J4" t="s">
        <v>41</v>
      </c>
      <c r="K4">
        <v>0.1000006666711111</v>
      </c>
      <c r="L4">
        <v>0.07340958030629294</v>
      </c>
      <c r="M4">
        <v>80</v>
      </c>
      <c r="N4">
        <v>0.1699003873824019</v>
      </c>
      <c r="O4">
        <v>61.3</v>
      </c>
      <c r="P4" s="5" t="s">
        <v>68</v>
      </c>
      <c r="Q4" s="5" t="s">
        <v>69</v>
      </c>
      <c r="R4" s="5" t="s">
        <v>89</v>
      </c>
      <c r="S4" s="5" t="s">
        <v>106</v>
      </c>
      <c r="T4" s="5" t="s">
        <v>73</v>
      </c>
      <c r="U4" s="5" t="s">
        <v>140</v>
      </c>
      <c r="V4" s="5" t="s">
        <v>131</v>
      </c>
      <c r="W4" s="5" t="s">
        <v>143</v>
      </c>
      <c r="X4" s="5" t="s">
        <v>119</v>
      </c>
    </row>
    <row r="5" spans="1:25">
      <c r="A5" s="4">
        <f>HYPERLINK("https://www.idealista.com/inmueble/109955956/", "Piso en venta en Calle de Benimamet")</f>
        <v>0</v>
      </c>
      <c r="B5" t="s">
        <v>24</v>
      </c>
      <c r="C5">
        <v>64</v>
      </c>
      <c r="D5" s="1">
        <v>147500</v>
      </c>
      <c r="E5" s="1">
        <v>3</v>
      </c>
      <c r="F5" s="2">
        <v>1</v>
      </c>
      <c r="G5" s="2" t="b">
        <v>0</v>
      </c>
      <c r="H5" s="2" t="b">
        <v>0</v>
      </c>
      <c r="I5">
        <v>1260</v>
      </c>
      <c r="J5" t="s">
        <v>42</v>
      </c>
      <c r="K5">
        <v>0.1025084745762712</v>
      </c>
      <c r="L5">
        <v>0.07525053929121725</v>
      </c>
      <c r="M5">
        <v>89.5</v>
      </c>
      <c r="N5">
        <v>0.1582214997232984</v>
      </c>
      <c r="O5">
        <v>60.3</v>
      </c>
      <c r="P5" s="5" t="s">
        <v>69</v>
      </c>
      <c r="Q5" s="5" t="s">
        <v>89</v>
      </c>
      <c r="R5" s="5" t="s">
        <v>106</v>
      </c>
      <c r="S5" s="5" t="s">
        <v>68</v>
      </c>
      <c r="T5" s="5" t="s">
        <v>73</v>
      </c>
      <c r="U5" s="5" t="s">
        <v>131</v>
      </c>
      <c r="V5" s="5" t="s">
        <v>143</v>
      </c>
      <c r="W5" s="5" t="s">
        <v>140</v>
      </c>
    </row>
    <row r="6" spans="1:25">
      <c r="A6" s="4">
        <f>HYPERLINK("https://www.idealista.com/inmueble/109323363/", "Piso en venta en Calle de la Rioja")</f>
        <v>0</v>
      </c>
      <c r="B6" t="s">
        <v>25</v>
      </c>
      <c r="C6">
        <v>70</v>
      </c>
      <c r="D6" s="1">
        <v>186000</v>
      </c>
      <c r="E6" s="1">
        <v>2</v>
      </c>
      <c r="F6" s="2">
        <v>1</v>
      </c>
      <c r="G6" s="2" t="b">
        <v>0</v>
      </c>
      <c r="H6" s="2" t="b">
        <v>0</v>
      </c>
      <c r="I6">
        <v>1080</v>
      </c>
      <c r="J6" t="s">
        <v>43</v>
      </c>
      <c r="K6">
        <v>0.0696774193548387</v>
      </c>
      <c r="L6">
        <v>0.05114956011730204</v>
      </c>
      <c r="M6">
        <v>77.7</v>
      </c>
      <c r="N6">
        <v>0.2714711455785492</v>
      </c>
      <c r="O6">
        <v>58.6</v>
      </c>
      <c r="P6" s="5" t="s">
        <v>70</v>
      </c>
      <c r="Q6" s="5" t="s">
        <v>90</v>
      </c>
      <c r="R6" s="5" t="s">
        <v>107</v>
      </c>
      <c r="S6" s="5" t="s">
        <v>120</v>
      </c>
      <c r="T6" s="5" t="s">
        <v>130</v>
      </c>
      <c r="U6" s="5" t="s">
        <v>141</v>
      </c>
    </row>
    <row r="7" spans="1:25">
      <c r="A7" s="4">
        <f>HYPERLINK("https://www.idealista.com/inmueble/109974736/", "Piso en venta en Calle de Beniferri")</f>
        <v>0</v>
      </c>
      <c r="B7" t="s">
        <v>24</v>
      </c>
      <c r="C7">
        <v>64</v>
      </c>
      <c r="D7" s="1">
        <v>147500</v>
      </c>
      <c r="E7" s="1">
        <v>4</v>
      </c>
      <c r="F7" s="2">
        <v>1</v>
      </c>
      <c r="G7" s="2" t="b">
        <v>0</v>
      </c>
      <c r="H7" s="2" t="b">
        <v>0</v>
      </c>
      <c r="I7">
        <v>1200</v>
      </c>
      <c r="J7" t="s">
        <v>44</v>
      </c>
      <c r="K7">
        <v>0.0976271186440678</v>
      </c>
      <c r="L7">
        <v>0.07166718027734977</v>
      </c>
      <c r="M7">
        <v>77.8</v>
      </c>
      <c r="N7">
        <v>0.1582214997232984</v>
      </c>
      <c r="O7">
        <v>58.5</v>
      </c>
      <c r="P7" s="5" t="s">
        <v>69</v>
      </c>
      <c r="Q7" s="5" t="s">
        <v>89</v>
      </c>
      <c r="R7" s="5" t="s">
        <v>106</v>
      </c>
      <c r="S7" s="5" t="s">
        <v>68</v>
      </c>
      <c r="T7" s="5" t="s">
        <v>73</v>
      </c>
      <c r="U7" s="5" t="s">
        <v>131</v>
      </c>
      <c r="V7" s="5" t="s">
        <v>143</v>
      </c>
      <c r="W7" s="5" t="s">
        <v>140</v>
      </c>
      <c r="X7" s="5" t="s">
        <v>119</v>
      </c>
      <c r="Y7" s="5" t="s">
        <v>162</v>
      </c>
    </row>
    <row r="8" spans="1:25">
      <c r="A8" s="4">
        <f>HYPERLINK("https://www.idealista.com/inmueble/109581529/", "Piso en venta en Casco Histórico de Vallecas")</f>
        <v>0</v>
      </c>
      <c r="B8" t="s">
        <v>26</v>
      </c>
      <c r="C8">
        <v>54</v>
      </c>
      <c r="D8" s="1">
        <v>154900</v>
      </c>
      <c r="E8" s="1">
        <v>2</v>
      </c>
      <c r="F8" s="2">
        <v>1</v>
      </c>
      <c r="G8" s="2" t="b">
        <v>0</v>
      </c>
      <c r="H8" s="2" t="b">
        <v>0</v>
      </c>
      <c r="I8">
        <v>1240</v>
      </c>
      <c r="J8" t="s">
        <v>45</v>
      </c>
      <c r="K8">
        <v>0.0960619754680439</v>
      </c>
      <c r="L8">
        <v>0.07051822290040495</v>
      </c>
      <c r="M8">
        <v>61</v>
      </c>
      <c r="N8">
        <v>0.1327001265473863</v>
      </c>
      <c r="O8">
        <v>56.6</v>
      </c>
      <c r="P8" s="5" t="s">
        <v>71</v>
      </c>
      <c r="Q8" s="5" t="s">
        <v>91</v>
      </c>
      <c r="R8" s="5" t="s">
        <v>108</v>
      </c>
      <c r="S8" s="5" t="s">
        <v>72</v>
      </c>
      <c r="T8" s="5" t="s">
        <v>92</v>
      </c>
      <c r="U8" s="5" t="s">
        <v>142</v>
      </c>
      <c r="V8" s="5" t="s">
        <v>150</v>
      </c>
      <c r="W8" s="5" t="s">
        <v>156</v>
      </c>
      <c r="X8" s="5" t="s">
        <v>159</v>
      </c>
      <c r="Y8" s="5" t="s">
        <v>163</v>
      </c>
    </row>
    <row r="9" spans="1:25">
      <c r="A9" s="4">
        <f>HYPERLINK("https://www.idealista.com/inmueble/109812881/", "Piso en venta en Calle de la Gavia Seca, 20")</f>
        <v>0</v>
      </c>
      <c r="B9" t="s">
        <v>26</v>
      </c>
      <c r="C9">
        <v>69</v>
      </c>
      <c r="D9" s="1">
        <v>205000</v>
      </c>
      <c r="E9" s="1">
        <v>2</v>
      </c>
      <c r="F9" s="2">
        <v>1</v>
      </c>
      <c r="G9" s="2" t="b">
        <v>0</v>
      </c>
      <c r="H9" s="2" t="b">
        <v>0</v>
      </c>
      <c r="I9">
        <v>1380</v>
      </c>
      <c r="J9" t="s">
        <v>39</v>
      </c>
      <c r="K9">
        <v>0.08078048780487805</v>
      </c>
      <c r="L9">
        <v>0.05930022172949001</v>
      </c>
      <c r="M9">
        <v>60.9</v>
      </c>
      <c r="N9">
        <v>0.1017103508462278</v>
      </c>
      <c r="O9">
        <v>56.2</v>
      </c>
      <c r="P9" s="5" t="s">
        <v>72</v>
      </c>
      <c r="Q9" s="5" t="s">
        <v>92</v>
      </c>
      <c r="R9" s="5" t="s">
        <v>109</v>
      </c>
    </row>
    <row r="10" spans="1:25">
      <c r="A10" s="4">
        <f>HYPERLINK("https://www.idealista.com/inmueble/109926238/", "Piso en venta en Calle de Benimamet")</f>
        <v>0</v>
      </c>
      <c r="B10" t="s">
        <v>24</v>
      </c>
      <c r="C10">
        <v>60</v>
      </c>
      <c r="D10" s="1">
        <v>142500</v>
      </c>
      <c r="E10" s="1">
        <v>3</v>
      </c>
      <c r="F10" s="2">
        <v>1</v>
      </c>
      <c r="G10" s="2" t="b">
        <v>0</v>
      </c>
      <c r="H10" s="2" t="b">
        <v>0</v>
      </c>
      <c r="I10">
        <v>1200</v>
      </c>
      <c r="J10" t="s">
        <v>46</v>
      </c>
      <c r="K10">
        <v>0.1010526315789474</v>
      </c>
      <c r="L10">
        <v>0.07418181818181818</v>
      </c>
      <c r="M10">
        <v>91</v>
      </c>
      <c r="N10">
        <v>0.1325401217487548</v>
      </c>
      <c r="O10">
        <v>55.6</v>
      </c>
      <c r="P10" s="5" t="s">
        <v>73</v>
      </c>
      <c r="Q10" s="5" t="s">
        <v>69</v>
      </c>
      <c r="R10" s="5" t="s">
        <v>106</v>
      </c>
      <c r="S10" s="5" t="s">
        <v>89</v>
      </c>
      <c r="T10" s="5" t="s">
        <v>131</v>
      </c>
      <c r="U10" s="5" t="s">
        <v>143</v>
      </c>
      <c r="V10" s="5" t="s">
        <v>68</v>
      </c>
    </row>
    <row r="11" spans="1:25">
      <c r="A11" s="4">
        <f>HYPERLINK("https://www.idealista.com/inmueble/109947150/", "Piso en venta en Casco Histórico de Vallecas")</f>
        <v>0</v>
      </c>
      <c r="B11" t="s">
        <v>26</v>
      </c>
      <c r="C11">
        <v>64</v>
      </c>
      <c r="D11" s="1">
        <v>180000</v>
      </c>
      <c r="E11" s="1">
        <v>2</v>
      </c>
      <c r="F11" s="2">
        <v>1</v>
      </c>
      <c r="G11" s="2" t="b">
        <v>0</v>
      </c>
      <c r="H11" s="2" t="b">
        <v>0</v>
      </c>
      <c r="I11">
        <v>1180</v>
      </c>
      <c r="J11" t="s">
        <v>47</v>
      </c>
      <c r="K11">
        <v>0.07866666666666666</v>
      </c>
      <c r="L11">
        <v>0.05774848484848483</v>
      </c>
      <c r="M11">
        <v>73.7</v>
      </c>
      <c r="N11">
        <v>0.1496373900541272</v>
      </c>
      <c r="O11">
        <v>53</v>
      </c>
      <c r="P11" s="5" t="s">
        <v>72</v>
      </c>
      <c r="Q11" s="5" t="s">
        <v>92</v>
      </c>
      <c r="R11" s="5" t="s">
        <v>71</v>
      </c>
    </row>
    <row r="12" spans="1:25">
      <c r="A12" s="4">
        <f>HYPERLINK("https://www.idealista.com/inmueble/110265889/", "Piso en venta en Casco Histórico de Vallecas")</f>
        <v>0</v>
      </c>
      <c r="B12" t="s">
        <v>26</v>
      </c>
      <c r="C12">
        <v>68</v>
      </c>
      <c r="D12" s="1">
        <v>190000</v>
      </c>
      <c r="E12" s="1">
        <v>1</v>
      </c>
      <c r="F12" s="2">
        <v>1</v>
      </c>
      <c r="G12" s="2" t="b">
        <v>0</v>
      </c>
      <c r="H12" s="2" t="b">
        <v>0</v>
      </c>
      <c r="I12">
        <v>1200</v>
      </c>
      <c r="J12" t="s">
        <v>48</v>
      </c>
      <c r="K12">
        <v>0.07578947368421053</v>
      </c>
      <c r="L12">
        <v>0.05563636363636363</v>
      </c>
      <c r="M12">
        <v>79.7</v>
      </c>
      <c r="N12">
        <v>0.1551953156093291</v>
      </c>
      <c r="O12">
        <v>52.8</v>
      </c>
      <c r="P12" s="5" t="s">
        <v>74</v>
      </c>
      <c r="Q12" s="5" t="s">
        <v>93</v>
      </c>
      <c r="R12" s="5" t="s">
        <v>110</v>
      </c>
      <c r="S12" s="5" t="s">
        <v>121</v>
      </c>
      <c r="T12" s="5" t="s">
        <v>132</v>
      </c>
      <c r="U12" s="5" t="s">
        <v>144</v>
      </c>
      <c r="V12" s="5" t="s">
        <v>151</v>
      </c>
      <c r="W12" s="5" t="s">
        <v>142</v>
      </c>
      <c r="X12" s="5" t="s">
        <v>150</v>
      </c>
    </row>
    <row r="13" spans="1:25">
      <c r="A13" s="4">
        <f>HYPERLINK("https://www.idealista.com/inmueble/108459658/", "Piso en venta en Norte - Universidad")</f>
        <v>0</v>
      </c>
      <c r="B13" t="s">
        <v>27</v>
      </c>
      <c r="C13">
        <v>80</v>
      </c>
      <c r="D13" s="1">
        <v>172000</v>
      </c>
      <c r="E13" s="1">
        <v>3</v>
      </c>
      <c r="F13" s="2">
        <v>1</v>
      </c>
      <c r="G13" s="2" t="b">
        <v>0</v>
      </c>
      <c r="H13" s="2" t="b">
        <v>0</v>
      </c>
      <c r="I13">
        <v>1140</v>
      </c>
      <c r="J13" t="s">
        <v>49</v>
      </c>
      <c r="K13">
        <v>0.07953488372093023</v>
      </c>
      <c r="L13">
        <v>0.05838583509513742</v>
      </c>
      <c r="M13">
        <v>79.2</v>
      </c>
      <c r="N13">
        <v>0.2086251888476858</v>
      </c>
      <c r="O13">
        <v>52.2</v>
      </c>
      <c r="P13" s="5" t="s">
        <v>75</v>
      </c>
      <c r="Q13" s="5" t="s">
        <v>94</v>
      </c>
      <c r="R13" s="5" t="s">
        <v>111</v>
      </c>
      <c r="S13" s="5" t="s">
        <v>122</v>
      </c>
    </row>
    <row r="14" spans="1:25">
      <c r="A14" s="4">
        <f>HYPERLINK("https://www.idealista.com/inmueble/108819748/", "Piso en venta en Villaverde Alto")</f>
        <v>0</v>
      </c>
      <c r="B14" t="s">
        <v>24</v>
      </c>
      <c r="C14">
        <v>106</v>
      </c>
      <c r="D14" s="1">
        <v>242000</v>
      </c>
      <c r="E14" s="1">
        <v>3</v>
      </c>
      <c r="F14" s="2">
        <v>2</v>
      </c>
      <c r="G14" s="2" t="b">
        <v>0</v>
      </c>
      <c r="H14" s="2" t="b">
        <v>0</v>
      </c>
      <c r="I14">
        <v>1530</v>
      </c>
      <c r="J14" t="s">
        <v>50</v>
      </c>
      <c r="K14">
        <v>0.07586776859504132</v>
      </c>
      <c r="L14">
        <v>0.0556938392186326</v>
      </c>
      <c r="M14">
        <v>85.5</v>
      </c>
      <c r="N14">
        <v>0.1661358866462708</v>
      </c>
      <c r="O14">
        <v>52</v>
      </c>
      <c r="P14" s="5" t="s">
        <v>76</v>
      </c>
      <c r="Q14" s="5" t="s">
        <v>95</v>
      </c>
      <c r="R14" s="5" t="s">
        <v>112</v>
      </c>
      <c r="S14" s="5" t="s">
        <v>123</v>
      </c>
      <c r="T14" s="5" t="s">
        <v>133</v>
      </c>
      <c r="U14" s="5" t="s">
        <v>145</v>
      </c>
    </row>
    <row r="15" spans="1:25">
      <c r="A15" s="4">
        <f>HYPERLINK("https://www.idealista.com/inmueble/110282412/", "Piso en venta en Calle Salamanca")</f>
        <v>0</v>
      </c>
      <c r="B15" t="s">
        <v>28</v>
      </c>
      <c r="C15">
        <v>75</v>
      </c>
      <c r="D15" s="1">
        <v>185000</v>
      </c>
      <c r="E15" s="1">
        <v>3</v>
      </c>
      <c r="F15" s="2">
        <v>1</v>
      </c>
      <c r="G15" s="2" t="b">
        <v>0</v>
      </c>
      <c r="H15" s="2" t="b">
        <v>0</v>
      </c>
      <c r="I15">
        <v>1170</v>
      </c>
      <c r="J15" t="s">
        <v>51</v>
      </c>
      <c r="K15">
        <v>0.0758918918918919</v>
      </c>
      <c r="L15">
        <v>0.0557115479115479</v>
      </c>
      <c r="M15">
        <v>81.59999999999999</v>
      </c>
      <c r="N15">
        <v>0.1546286244099033</v>
      </c>
      <c r="O15">
        <v>48.8</v>
      </c>
      <c r="P15" s="5" t="s">
        <v>77</v>
      </c>
      <c r="Q15" s="5" t="s">
        <v>81</v>
      </c>
      <c r="R15" s="5" t="s">
        <v>99</v>
      </c>
      <c r="S15" s="5" t="s">
        <v>124</v>
      </c>
      <c r="T15" s="5" t="s">
        <v>134</v>
      </c>
      <c r="U15" s="5" t="s">
        <v>127</v>
      </c>
      <c r="V15" s="5" t="s">
        <v>137</v>
      </c>
    </row>
    <row r="16" spans="1:25">
      <c r="A16" s="4">
        <f>HYPERLINK("https://www.idealista.com/inmueble/108413099/", "Piso en venta en Centro")</f>
        <v>0</v>
      </c>
      <c r="B16" t="s">
        <v>28</v>
      </c>
      <c r="C16">
        <v>70</v>
      </c>
      <c r="D16" s="1">
        <v>175000</v>
      </c>
      <c r="E16" s="1">
        <v>2</v>
      </c>
      <c r="F16" s="2">
        <v>1</v>
      </c>
      <c r="G16" s="2" t="b">
        <v>0</v>
      </c>
      <c r="H16" s="2" t="b">
        <v>0</v>
      </c>
      <c r="I16">
        <v>1110</v>
      </c>
      <c r="J16" t="s">
        <v>52</v>
      </c>
      <c r="K16">
        <v>0.07611428571428572</v>
      </c>
      <c r="L16">
        <v>0.05587480519480519</v>
      </c>
      <c r="M16">
        <v>78.90000000000001</v>
      </c>
      <c r="N16">
        <v>0.143204686901929</v>
      </c>
      <c r="O16">
        <v>46.9</v>
      </c>
      <c r="P16" s="5" t="s">
        <v>78</v>
      </c>
      <c r="Q16" s="5" t="s">
        <v>96</v>
      </c>
      <c r="R16" s="5" t="s">
        <v>113</v>
      </c>
      <c r="S16" s="5" t="s">
        <v>125</v>
      </c>
      <c r="T16" s="5" t="s">
        <v>135</v>
      </c>
      <c r="U16" s="5" t="s">
        <v>146</v>
      </c>
      <c r="V16" s="5" t="s">
        <v>152</v>
      </c>
    </row>
    <row r="17" spans="1:25">
      <c r="A17" s="4">
        <f>HYPERLINK("https://www.idealista.com/inmueble/109726721/", "Piso en venta en Casco Histórico de Vicálvaro")</f>
        <v>0</v>
      </c>
      <c r="B17" t="s">
        <v>29</v>
      </c>
      <c r="C17">
        <v>83</v>
      </c>
      <c r="D17" s="1">
        <v>240000</v>
      </c>
      <c r="E17" s="1">
        <v>3</v>
      </c>
      <c r="F17" s="2">
        <v>1</v>
      </c>
      <c r="G17" s="2" t="b">
        <v>0</v>
      </c>
      <c r="H17" s="2" t="b">
        <v>0</v>
      </c>
      <c r="I17">
        <v>1570</v>
      </c>
      <c r="J17" t="s">
        <v>53</v>
      </c>
      <c r="K17">
        <v>0.0785</v>
      </c>
      <c r="L17">
        <v>0.05762613636363636</v>
      </c>
      <c r="M17">
        <v>85.09999999999999</v>
      </c>
      <c r="N17">
        <v>0.1067373808628099</v>
      </c>
      <c r="O17">
        <v>44.4</v>
      </c>
      <c r="P17" s="5" t="s">
        <v>79</v>
      </c>
      <c r="Q17" s="5" t="s">
        <v>97</v>
      </c>
      <c r="R17" s="5" t="s">
        <v>114</v>
      </c>
      <c r="S17" s="5" t="s">
        <v>126</v>
      </c>
      <c r="T17" s="5" t="s">
        <v>136</v>
      </c>
      <c r="U17" s="5" t="s">
        <v>147</v>
      </c>
      <c r="V17" s="5" t="s">
        <v>153</v>
      </c>
      <c r="W17" s="5" t="s">
        <v>157</v>
      </c>
      <c r="X17" s="5" t="s">
        <v>160</v>
      </c>
      <c r="Y17" s="5" t="s">
        <v>164</v>
      </c>
    </row>
    <row r="18" spans="1:25">
      <c r="A18" s="4">
        <f>HYPERLINK("https://www.idealista.com/inmueble/109469154/", "Piso en venta en Plaza de las Thuyas, 18")</f>
        <v>0</v>
      </c>
      <c r="B18" t="s">
        <v>30</v>
      </c>
      <c r="C18">
        <v>80</v>
      </c>
      <c r="D18" s="1">
        <v>237600</v>
      </c>
      <c r="E18" s="1">
        <v>3</v>
      </c>
      <c r="F18" s="2">
        <v>1</v>
      </c>
      <c r="G18" s="2" t="b">
        <v>0</v>
      </c>
      <c r="H18" s="2" t="b">
        <v>0</v>
      </c>
      <c r="I18">
        <v>1340</v>
      </c>
      <c r="J18" t="s">
        <v>54</v>
      </c>
      <c r="K18">
        <v>0.06767676767676768</v>
      </c>
      <c r="L18">
        <v>0.04968089990817262</v>
      </c>
      <c r="M18">
        <v>58.3</v>
      </c>
      <c r="N18">
        <v>0.08576078728236179</v>
      </c>
      <c r="O18">
        <v>40.7</v>
      </c>
      <c r="P18" s="5" t="s">
        <v>80</v>
      </c>
      <c r="Q18" s="5" t="s">
        <v>98</v>
      </c>
    </row>
    <row r="19" spans="1:25">
      <c r="A19" s="4">
        <f>HYPERLINK("https://www.idealista.com/inmueble/110291882/", "Piso en venta en Paseo de San Antonio")</f>
        <v>0</v>
      </c>
      <c r="B19" t="s">
        <v>28</v>
      </c>
      <c r="C19">
        <v>76</v>
      </c>
      <c r="D19" s="1">
        <v>199900</v>
      </c>
      <c r="E19" s="1">
        <v>3</v>
      </c>
      <c r="F19" s="2">
        <v>1</v>
      </c>
      <c r="G19" s="2" t="b">
        <v>0</v>
      </c>
      <c r="H19" s="2" t="b">
        <v>0</v>
      </c>
      <c r="I19">
        <v>1180</v>
      </c>
      <c r="J19" t="s">
        <v>55</v>
      </c>
      <c r="K19">
        <v>0.07083541770885443</v>
      </c>
      <c r="L19">
        <v>0.05199963618172722</v>
      </c>
      <c r="M19">
        <v>81.5</v>
      </c>
      <c r="N19">
        <v>0.09856114164050321</v>
      </c>
      <c r="O19">
        <v>37.6</v>
      </c>
      <c r="P19" s="5" t="s">
        <v>77</v>
      </c>
      <c r="Q19" s="5" t="s">
        <v>81</v>
      </c>
      <c r="R19" s="5" t="s">
        <v>99</v>
      </c>
      <c r="S19" s="5" t="s">
        <v>124</v>
      </c>
      <c r="T19" s="5" t="s">
        <v>137</v>
      </c>
      <c r="U19" s="5" t="s">
        <v>127</v>
      </c>
      <c r="V19" s="5" t="s">
        <v>134</v>
      </c>
    </row>
    <row r="20" spans="1:25">
      <c r="A20" s="4">
        <f>HYPERLINK("https://www.idealista.com/inmueble/109345864/", "Piso en venta en Calle de Simón Hernández")</f>
        <v>0</v>
      </c>
      <c r="B20" t="s">
        <v>28</v>
      </c>
      <c r="C20">
        <v>76</v>
      </c>
      <c r="D20" s="1">
        <v>199900</v>
      </c>
      <c r="E20" s="1">
        <v>3</v>
      </c>
      <c r="F20" s="2">
        <v>1</v>
      </c>
      <c r="G20" s="2" t="b">
        <v>0</v>
      </c>
      <c r="H20" s="2" t="b">
        <v>0</v>
      </c>
      <c r="I20">
        <v>1180</v>
      </c>
      <c r="J20" t="s">
        <v>55</v>
      </c>
      <c r="K20">
        <v>0.07083541770885443</v>
      </c>
      <c r="L20">
        <v>0.05199963618172722</v>
      </c>
      <c r="M20">
        <v>81.5</v>
      </c>
      <c r="N20">
        <v>0.09856114164050321</v>
      </c>
      <c r="O20">
        <v>37.6</v>
      </c>
      <c r="P20" s="5" t="s">
        <v>77</v>
      </c>
      <c r="Q20" s="5" t="s">
        <v>81</v>
      </c>
      <c r="R20" s="5" t="s">
        <v>99</v>
      </c>
      <c r="S20" s="5" t="s">
        <v>124</v>
      </c>
      <c r="T20" s="5" t="s">
        <v>137</v>
      </c>
      <c r="U20" s="5" t="s">
        <v>127</v>
      </c>
      <c r="V20" s="5" t="s">
        <v>134</v>
      </c>
    </row>
    <row r="21" spans="1:25">
      <c r="A21" s="4">
        <f>HYPERLINK("https://www.idealista.com/inmueble/109864278/", "Piso en venta en CL Salamanca")</f>
        <v>0</v>
      </c>
      <c r="B21" t="s">
        <v>28</v>
      </c>
      <c r="C21">
        <v>70</v>
      </c>
      <c r="D21" s="1">
        <v>185000</v>
      </c>
      <c r="E21" s="1">
        <v>3</v>
      </c>
      <c r="F21" s="2">
        <v>1</v>
      </c>
      <c r="G21" s="2" t="b">
        <v>0</v>
      </c>
      <c r="H21" s="2" t="b">
        <v>0</v>
      </c>
      <c r="I21">
        <v>1100</v>
      </c>
      <c r="J21" t="s">
        <v>56</v>
      </c>
      <c r="K21">
        <v>0.07135135135135136</v>
      </c>
      <c r="L21">
        <v>0.05237837837837837</v>
      </c>
      <c r="M21">
        <v>79.3</v>
      </c>
      <c r="N21">
        <v>0.09424495472489645</v>
      </c>
      <c r="O21">
        <v>37</v>
      </c>
      <c r="P21" s="5" t="s">
        <v>81</v>
      </c>
      <c r="Q21" s="5" t="s">
        <v>99</v>
      </c>
      <c r="R21" s="5" t="s">
        <v>77</v>
      </c>
      <c r="S21" s="5" t="s">
        <v>127</v>
      </c>
      <c r="T21" s="5" t="s">
        <v>134</v>
      </c>
      <c r="U21" s="5" t="s">
        <v>124</v>
      </c>
    </row>
    <row r="22" spans="1:25">
      <c r="A22" s="4">
        <f>HYPERLINK("https://www.idealista.com/inmueble/110097506/", "Piso en venta en Calle Huesca")</f>
        <v>0</v>
      </c>
      <c r="B22" t="s">
        <v>31</v>
      </c>
      <c r="C22">
        <v>80</v>
      </c>
      <c r="D22" s="1">
        <v>204900</v>
      </c>
      <c r="E22" s="1">
        <v>3</v>
      </c>
      <c r="F22" s="2">
        <v>1</v>
      </c>
      <c r="G22" s="2" t="b">
        <v>0</v>
      </c>
      <c r="H22" s="2" t="b">
        <v>0</v>
      </c>
      <c r="I22">
        <v>1200</v>
      </c>
      <c r="J22" t="s">
        <v>57</v>
      </c>
      <c r="K22">
        <v>0.07027818448023426</v>
      </c>
      <c r="L22">
        <v>0.05159057633435378</v>
      </c>
      <c r="M22">
        <v>84.59999999999999</v>
      </c>
      <c r="N22">
        <v>0.1153584297836303</v>
      </c>
      <c r="O22">
        <v>35.9</v>
      </c>
      <c r="P22" s="5" t="s">
        <v>82</v>
      </c>
      <c r="Q22" s="5" t="s">
        <v>100</v>
      </c>
      <c r="R22" s="5" t="s">
        <v>115</v>
      </c>
      <c r="S22" s="5" t="s">
        <v>128</v>
      </c>
      <c r="T22" s="5" t="s">
        <v>138</v>
      </c>
      <c r="U22" s="5" t="s">
        <v>148</v>
      </c>
      <c r="V22" s="5" t="s">
        <v>154</v>
      </c>
      <c r="W22" s="5" t="s">
        <v>158</v>
      </c>
      <c r="X22" s="5" t="s">
        <v>161</v>
      </c>
      <c r="Y22" s="5" t="s">
        <v>165</v>
      </c>
    </row>
    <row r="23" spans="1:25">
      <c r="A23" s="4">
        <f>HYPERLINK("https://www.idealista.com/inmueble/110278321/", "Piso en venta en Calle Río Turia")</f>
        <v>0</v>
      </c>
      <c r="B23" t="s">
        <v>32</v>
      </c>
      <c r="C23">
        <v>75</v>
      </c>
      <c r="D23" s="1">
        <v>207000</v>
      </c>
      <c r="E23" s="1">
        <v>30</v>
      </c>
      <c r="F23" s="2">
        <v>1</v>
      </c>
      <c r="G23" s="2" t="b">
        <v>0</v>
      </c>
      <c r="H23" s="2" t="b">
        <v>0</v>
      </c>
      <c r="I23">
        <v>1280</v>
      </c>
      <c r="J23" t="s">
        <v>58</v>
      </c>
      <c r="K23">
        <v>0.07420289855072464</v>
      </c>
      <c r="L23">
        <v>0.05447167325428194</v>
      </c>
      <c r="M23">
        <v>15</v>
      </c>
      <c r="N23">
        <v>0.1025512756378189</v>
      </c>
      <c r="O23">
        <v>35.8</v>
      </c>
    </row>
    <row r="24" spans="1:25">
      <c r="A24" s="4">
        <f>HYPERLINK("https://www.idealista.com/inmueble/109581213/", "Piso en venta en La Serna")</f>
        <v>0</v>
      </c>
      <c r="B24" t="s">
        <v>33</v>
      </c>
      <c r="C24">
        <v>71</v>
      </c>
      <c r="D24" s="1">
        <v>189900</v>
      </c>
      <c r="E24" s="1">
        <v>3</v>
      </c>
      <c r="F24" s="2">
        <v>1</v>
      </c>
      <c r="G24" s="2" t="b">
        <v>0</v>
      </c>
      <c r="H24" s="2" t="b">
        <v>0</v>
      </c>
      <c r="I24">
        <v>960</v>
      </c>
      <c r="J24" t="s">
        <v>59</v>
      </c>
      <c r="K24">
        <v>0.06066350710900474</v>
      </c>
      <c r="L24">
        <v>0.0445325290822921</v>
      </c>
      <c r="M24">
        <v>61.4</v>
      </c>
      <c r="N24">
        <v>0.1444922323194638</v>
      </c>
      <c r="O24">
        <v>35.5</v>
      </c>
      <c r="P24" s="5" t="s">
        <v>83</v>
      </c>
      <c r="Q24" s="5" t="s">
        <v>101</v>
      </c>
      <c r="R24" s="5" t="s">
        <v>116</v>
      </c>
    </row>
    <row r="25" spans="1:25">
      <c r="A25" s="4">
        <f>HYPERLINK("https://www.idealista.com/inmueble/108639444/", "Piso en venta en San Isidro")</f>
        <v>0</v>
      </c>
      <c r="B25" t="s">
        <v>34</v>
      </c>
      <c r="C25">
        <v>82</v>
      </c>
      <c r="D25" s="1">
        <v>236500</v>
      </c>
      <c r="E25" s="1">
        <v>3</v>
      </c>
      <c r="F25" s="2">
        <v>1</v>
      </c>
      <c r="G25" s="2" t="b">
        <v>0</v>
      </c>
      <c r="H25" s="2" t="b">
        <v>0</v>
      </c>
      <c r="I25">
        <v>1450</v>
      </c>
      <c r="J25" t="s">
        <v>60</v>
      </c>
      <c r="K25">
        <v>0.07357293868921776</v>
      </c>
      <c r="L25">
        <v>0.05400922544685757</v>
      </c>
      <c r="M25">
        <v>68.3</v>
      </c>
      <c r="N25">
        <v>0.09785149310944485</v>
      </c>
      <c r="O25">
        <v>32.8</v>
      </c>
      <c r="P25" s="5" t="s">
        <v>84</v>
      </c>
    </row>
    <row r="26" spans="1:25">
      <c r="A26" s="4">
        <f>HYPERLINK("https://www.idealista.com/inmueble/109749610/", "Piso en venta en Calle Río Segura")</f>
        <v>0</v>
      </c>
      <c r="B26" t="s">
        <v>32</v>
      </c>
      <c r="C26">
        <v>70</v>
      </c>
      <c r="D26" s="1">
        <v>197000</v>
      </c>
      <c r="E26" s="1">
        <v>30</v>
      </c>
      <c r="F26" s="2">
        <v>1</v>
      </c>
      <c r="G26" s="2" t="b">
        <v>0</v>
      </c>
      <c r="H26" s="2" t="b">
        <v>0</v>
      </c>
      <c r="I26">
        <v>1200</v>
      </c>
      <c r="J26" t="s">
        <v>61</v>
      </c>
      <c r="K26">
        <v>0.07309644670050762</v>
      </c>
      <c r="L26">
        <v>0.05365943700969081</v>
      </c>
      <c r="M26">
        <v>15</v>
      </c>
      <c r="N26">
        <v>0.08489959265346958</v>
      </c>
      <c r="O26">
        <v>32.2</v>
      </c>
    </row>
    <row r="27" spans="1:25">
      <c r="A27" s="4">
        <f>HYPERLINK("https://www.idealista.com/inmueble/110306265/", "Piso en venta en Sureste")</f>
        <v>0</v>
      </c>
      <c r="B27" t="s">
        <v>35</v>
      </c>
      <c r="C27">
        <v>62</v>
      </c>
      <c r="D27" s="1">
        <v>165000</v>
      </c>
      <c r="E27" s="1">
        <v>3</v>
      </c>
      <c r="F27" s="2">
        <v>1</v>
      </c>
      <c r="G27" s="2" t="b">
        <v>0</v>
      </c>
      <c r="H27" s="2" t="b">
        <v>0</v>
      </c>
      <c r="I27">
        <v>1270</v>
      </c>
      <c r="J27" t="s">
        <v>62</v>
      </c>
      <c r="K27">
        <v>0.09236363636363637</v>
      </c>
      <c r="L27">
        <v>0.06780330578512395</v>
      </c>
      <c r="M27">
        <v>81.59999999999999</v>
      </c>
      <c r="N27">
        <v>0</v>
      </c>
      <c r="O27">
        <v>24.9</v>
      </c>
      <c r="P27" s="5" t="s">
        <v>85</v>
      </c>
      <c r="Q27" s="5" t="s">
        <v>102</v>
      </c>
      <c r="R27" s="5" t="s">
        <v>117</v>
      </c>
      <c r="S27" s="5" t="s">
        <v>129</v>
      </c>
      <c r="T27" s="5" t="s">
        <v>139</v>
      </c>
      <c r="U27" s="5" t="s">
        <v>149</v>
      </c>
      <c r="V27" s="5" t="s">
        <v>155</v>
      </c>
    </row>
    <row r="28" spans="1:25">
      <c r="A28" s="4">
        <f>HYPERLINK("https://www.idealista.com/inmueble/110303933/", "Piso en venta en Calle Referéndum de Viña Grande")</f>
        <v>0</v>
      </c>
      <c r="B28" t="s">
        <v>36</v>
      </c>
      <c r="C28">
        <v>40</v>
      </c>
      <c r="D28" s="1">
        <v>85000</v>
      </c>
      <c r="E28" s="1">
        <v>1</v>
      </c>
      <c r="F28" s="2">
        <v>1</v>
      </c>
      <c r="G28" s="2" t="b">
        <v>0</v>
      </c>
      <c r="H28" s="2" t="b">
        <v>0</v>
      </c>
      <c r="I28">
        <v>610</v>
      </c>
      <c r="J28" t="s">
        <v>63</v>
      </c>
      <c r="K28">
        <v>0.08611764705882353</v>
      </c>
      <c r="L28">
        <v>0.0632181818181818</v>
      </c>
      <c r="M28">
        <v>15</v>
      </c>
      <c r="N28">
        <v>0</v>
      </c>
      <c r="O28">
        <v>21.2</v>
      </c>
    </row>
    <row r="29" spans="1:25">
      <c r="A29" s="4">
        <f>HYPERLINK("https://www.idealista.com/inmueble/110294970/", "Piso en venta en Calle Andalucia")</f>
        <v>0</v>
      </c>
      <c r="B29" t="s">
        <v>37</v>
      </c>
      <c r="C29">
        <v>75</v>
      </c>
      <c r="D29" s="1">
        <v>185000</v>
      </c>
      <c r="E29" s="1">
        <v>3</v>
      </c>
      <c r="F29" s="2">
        <v>1</v>
      </c>
      <c r="G29" s="2" t="b">
        <v>0</v>
      </c>
      <c r="H29" s="2" t="b">
        <v>0</v>
      </c>
      <c r="I29">
        <v>1000</v>
      </c>
      <c r="J29" t="s">
        <v>64</v>
      </c>
      <c r="K29">
        <v>0.06486486486486487</v>
      </c>
      <c r="L29">
        <v>0.04761670761670761</v>
      </c>
      <c r="M29">
        <v>81</v>
      </c>
      <c r="N29">
        <v>0.02631578947368429</v>
      </c>
      <c r="O29">
        <v>19.1</v>
      </c>
      <c r="P29" s="5" t="s">
        <v>86</v>
      </c>
      <c r="Q29" s="5" t="s">
        <v>103</v>
      </c>
    </row>
    <row r="30" spans="1:25">
      <c r="A30" s="4">
        <f>HYPERLINK("https://www.idealista.com/inmueble/110274331/", "Piso en venta en Calle Egido")</f>
        <v>0</v>
      </c>
      <c r="B30" t="s">
        <v>38</v>
      </c>
      <c r="C30">
        <v>68</v>
      </c>
      <c r="D30" s="1">
        <v>240000</v>
      </c>
      <c r="E30" s="1">
        <v>2</v>
      </c>
      <c r="F30" s="2">
        <v>1</v>
      </c>
      <c r="G30" s="2" t="b">
        <v>0</v>
      </c>
      <c r="H30" s="2" t="b">
        <v>0</v>
      </c>
      <c r="I30">
        <v>1010</v>
      </c>
      <c r="J30" t="s">
        <v>65</v>
      </c>
      <c r="K30">
        <v>0.0505</v>
      </c>
      <c r="L30">
        <v>0.03707159090909091</v>
      </c>
      <c r="M30">
        <v>15</v>
      </c>
      <c r="N30">
        <v>0.05243209096651934</v>
      </c>
      <c r="O30">
        <v>19</v>
      </c>
    </row>
  </sheetData>
  <hyperlinks>
    <hyperlink ref="P2" r:id="rId1"/>
    <hyperlink ref="Q2" r:id="rId2"/>
    <hyperlink ref="R2" r:id="rId3"/>
    <hyperlink ref="S2" r:id="rId4"/>
    <hyperlink ref="P3" r:id="rId5"/>
    <hyperlink ref="Q3" r:id="rId6"/>
    <hyperlink ref="R3" r:id="rId7"/>
    <hyperlink ref="S3" r:id="rId8"/>
    <hyperlink ref="T3" r:id="rId9"/>
    <hyperlink ref="U3" r:id="rId10"/>
    <hyperlink ref="V3" r:id="rId11"/>
    <hyperlink ref="W3" r:id="rId12"/>
    <hyperlink ref="X3" r:id="rId13"/>
    <hyperlink ref="Y3" r:id="rId14"/>
    <hyperlink ref="P4" r:id="rId15"/>
    <hyperlink ref="Q4" r:id="rId16"/>
    <hyperlink ref="R4" r:id="rId17"/>
    <hyperlink ref="S4" r:id="rId18"/>
    <hyperlink ref="T4" r:id="rId19"/>
    <hyperlink ref="U4" r:id="rId20"/>
    <hyperlink ref="V4" r:id="rId21"/>
    <hyperlink ref="W4" r:id="rId22"/>
    <hyperlink ref="X4" r:id="rId23"/>
    <hyperlink ref="P5" r:id="rId24"/>
    <hyperlink ref="Q5" r:id="rId25"/>
    <hyperlink ref="R5" r:id="rId26"/>
    <hyperlink ref="S5" r:id="rId27"/>
    <hyperlink ref="T5" r:id="rId28"/>
    <hyperlink ref="U5" r:id="rId29"/>
    <hyperlink ref="V5" r:id="rId30"/>
    <hyperlink ref="W5" r:id="rId31"/>
    <hyperlink ref="P6" r:id="rId32"/>
    <hyperlink ref="Q6" r:id="rId33"/>
    <hyperlink ref="R6" r:id="rId34"/>
    <hyperlink ref="S6" r:id="rId35"/>
    <hyperlink ref="T6" r:id="rId36"/>
    <hyperlink ref="U6" r:id="rId37"/>
    <hyperlink ref="P7" r:id="rId38"/>
    <hyperlink ref="Q7" r:id="rId39"/>
    <hyperlink ref="R7" r:id="rId40"/>
    <hyperlink ref="S7" r:id="rId41"/>
    <hyperlink ref="T7" r:id="rId42"/>
    <hyperlink ref="U7" r:id="rId43"/>
    <hyperlink ref="V7" r:id="rId44"/>
    <hyperlink ref="W7" r:id="rId45"/>
    <hyperlink ref="X7" r:id="rId46"/>
    <hyperlink ref="Y7" r:id="rId47"/>
    <hyperlink ref="P8" r:id="rId48"/>
    <hyperlink ref="Q8" r:id="rId49"/>
    <hyperlink ref="R8" r:id="rId50"/>
    <hyperlink ref="S8" r:id="rId51"/>
    <hyperlink ref="T8" r:id="rId52"/>
    <hyperlink ref="U8" r:id="rId53"/>
    <hyperlink ref="V8" r:id="rId54"/>
    <hyperlink ref="W8" r:id="rId55"/>
    <hyperlink ref="X8" r:id="rId56"/>
    <hyperlink ref="Y8" r:id="rId57"/>
    <hyperlink ref="P9" r:id="rId58"/>
    <hyperlink ref="Q9" r:id="rId59"/>
    <hyperlink ref="R9" r:id="rId60"/>
    <hyperlink ref="P10" r:id="rId61"/>
    <hyperlink ref="Q10" r:id="rId62"/>
    <hyperlink ref="R10" r:id="rId63"/>
    <hyperlink ref="S10" r:id="rId64"/>
    <hyperlink ref="T10" r:id="rId65"/>
    <hyperlink ref="U10" r:id="rId66"/>
    <hyperlink ref="V10" r:id="rId67"/>
    <hyperlink ref="P11" r:id="rId68"/>
    <hyperlink ref="Q11" r:id="rId69"/>
    <hyperlink ref="R11" r:id="rId70"/>
    <hyperlink ref="P12" r:id="rId71"/>
    <hyperlink ref="Q12" r:id="rId72"/>
    <hyperlink ref="R12" r:id="rId73"/>
    <hyperlink ref="S12" r:id="rId74"/>
    <hyperlink ref="T12" r:id="rId75"/>
    <hyperlink ref="U12" r:id="rId76"/>
    <hyperlink ref="V12" r:id="rId77"/>
    <hyperlink ref="W12" r:id="rId78"/>
    <hyperlink ref="X12" r:id="rId79"/>
    <hyperlink ref="P13" r:id="rId80"/>
    <hyperlink ref="Q13" r:id="rId81"/>
    <hyperlink ref="R13" r:id="rId82"/>
    <hyperlink ref="S13" r:id="rId83"/>
    <hyperlink ref="P14" r:id="rId84"/>
    <hyperlink ref="Q14" r:id="rId85"/>
    <hyperlink ref="R14" r:id="rId86"/>
    <hyperlink ref="S14" r:id="rId87"/>
    <hyperlink ref="T14" r:id="rId88"/>
    <hyperlink ref="U14" r:id="rId89"/>
    <hyperlink ref="P15" r:id="rId90"/>
    <hyperlink ref="Q15" r:id="rId91"/>
    <hyperlink ref="R15" r:id="rId92"/>
    <hyperlink ref="S15" r:id="rId93"/>
    <hyperlink ref="T15" r:id="rId94"/>
    <hyperlink ref="U15" r:id="rId95"/>
    <hyperlink ref="V15" r:id="rId96"/>
    <hyperlink ref="P16" r:id="rId97"/>
    <hyperlink ref="Q16" r:id="rId98"/>
    <hyperlink ref="R16" r:id="rId99"/>
    <hyperlink ref="S16" r:id="rId100"/>
    <hyperlink ref="T16" r:id="rId101"/>
    <hyperlink ref="U16" r:id="rId102"/>
    <hyperlink ref="V16" r:id="rId103"/>
    <hyperlink ref="P17" r:id="rId104"/>
    <hyperlink ref="Q17" r:id="rId105"/>
    <hyperlink ref="R17" r:id="rId106"/>
    <hyperlink ref="S17" r:id="rId107"/>
    <hyperlink ref="T17" r:id="rId108"/>
    <hyperlink ref="U17" r:id="rId109"/>
    <hyperlink ref="V17" r:id="rId110"/>
    <hyperlink ref="W17" r:id="rId111"/>
    <hyperlink ref="X17" r:id="rId112"/>
    <hyperlink ref="Y17" r:id="rId113"/>
    <hyperlink ref="P18" r:id="rId114"/>
    <hyperlink ref="Q18" r:id="rId115"/>
    <hyperlink ref="P19" r:id="rId116"/>
    <hyperlink ref="Q19" r:id="rId117"/>
    <hyperlink ref="R19" r:id="rId118"/>
    <hyperlink ref="S19" r:id="rId119"/>
    <hyperlink ref="T19" r:id="rId120"/>
    <hyperlink ref="U19" r:id="rId121"/>
    <hyperlink ref="V19" r:id="rId122"/>
    <hyperlink ref="P20" r:id="rId123"/>
    <hyperlink ref="Q20" r:id="rId124"/>
    <hyperlink ref="R20" r:id="rId125"/>
    <hyperlink ref="S20" r:id="rId126"/>
    <hyperlink ref="T20" r:id="rId127"/>
    <hyperlink ref="U20" r:id="rId128"/>
    <hyperlink ref="V20" r:id="rId129"/>
    <hyperlink ref="P21" r:id="rId130"/>
    <hyperlink ref="Q21" r:id="rId131"/>
    <hyperlink ref="R21" r:id="rId132"/>
    <hyperlink ref="S21" r:id="rId133"/>
    <hyperlink ref="T21" r:id="rId134"/>
    <hyperlink ref="U21" r:id="rId135"/>
    <hyperlink ref="P22" r:id="rId136"/>
    <hyperlink ref="Q22" r:id="rId137"/>
    <hyperlink ref="R22" r:id="rId138"/>
    <hyperlink ref="S22" r:id="rId139"/>
    <hyperlink ref="T22" r:id="rId140"/>
    <hyperlink ref="U22" r:id="rId141"/>
    <hyperlink ref="V22" r:id="rId142"/>
    <hyperlink ref="W22" r:id="rId143"/>
    <hyperlink ref="X22" r:id="rId144"/>
    <hyperlink ref="Y22" r:id="rId145"/>
    <hyperlink ref="P24" r:id="rId146"/>
    <hyperlink ref="Q24" r:id="rId147"/>
    <hyperlink ref="R24" r:id="rId148"/>
    <hyperlink ref="P25" r:id="rId149"/>
    <hyperlink ref="P27" r:id="rId150"/>
    <hyperlink ref="Q27" r:id="rId151"/>
    <hyperlink ref="R27" r:id="rId152"/>
    <hyperlink ref="S27" r:id="rId153"/>
    <hyperlink ref="T27" r:id="rId154"/>
    <hyperlink ref="U27" r:id="rId155"/>
    <hyperlink ref="V27" r:id="rId156"/>
    <hyperlink ref="P29" r:id="rId157"/>
    <hyperlink ref="Q29" r:id="rId15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cols>
    <col min="4" max="6" width="18.7109375" style="1" customWidth="1"/>
    <col min="7" max="9" width="15.7109375" style="2" customWidth="1"/>
  </cols>
  <sheetData>
    <row r="1" spans="1:10">
      <c r="A1" s="3" t="s">
        <v>0</v>
      </c>
      <c r="B1" s="3" t="s">
        <v>167</v>
      </c>
      <c r="C1" s="3" t="s">
        <v>168</v>
      </c>
      <c r="D1" s="3" t="s">
        <v>169</v>
      </c>
      <c r="E1" s="3" t="s">
        <v>170</v>
      </c>
      <c r="F1" s="3" t="s">
        <v>171</v>
      </c>
      <c r="G1" s="3" t="s">
        <v>9</v>
      </c>
      <c r="H1" s="3" t="s">
        <v>10</v>
      </c>
      <c r="I1" s="3" t="s">
        <v>172</v>
      </c>
      <c r="J1" s="3" t="s">
        <v>173</v>
      </c>
    </row>
    <row r="2" spans="1:10">
      <c r="A2" t="s">
        <v>174</v>
      </c>
      <c r="B2">
        <v>4</v>
      </c>
      <c r="C2">
        <v>2</v>
      </c>
      <c r="D2" s="1">
        <v>2170.707070707071</v>
      </c>
      <c r="E2" s="1">
        <v>2170.707070707071</v>
      </c>
      <c r="F2" s="1">
        <v>19.95504495504495</v>
      </c>
      <c r="G2" s="2">
        <v>0.1105630525825966</v>
      </c>
      <c r="H2" s="2">
        <v>0.08116333178222428</v>
      </c>
      <c r="I2" s="2">
        <v>0</v>
      </c>
      <c r="J2">
        <v>0</v>
      </c>
    </row>
    <row r="3" spans="1:10">
      <c r="A3" t="s">
        <v>35</v>
      </c>
      <c r="B3">
        <v>1</v>
      </c>
      <c r="C3">
        <v>14</v>
      </c>
      <c r="D3" s="1">
        <v>2661.290322580645</v>
      </c>
      <c r="E3" s="1">
        <v>2661.290322580645</v>
      </c>
      <c r="F3" s="1">
        <v>17.08333333333334</v>
      </c>
      <c r="G3" s="2">
        <v>0.09236363636363637</v>
      </c>
      <c r="H3" s="2">
        <v>0.06780330578512395</v>
      </c>
      <c r="I3" s="2">
        <v>1</v>
      </c>
      <c r="J3">
        <v>1</v>
      </c>
    </row>
    <row r="4" spans="1:10">
      <c r="A4" t="s">
        <v>36</v>
      </c>
      <c r="B4">
        <v>1</v>
      </c>
      <c r="C4">
        <v>2</v>
      </c>
      <c r="D4" s="1">
        <v>2125</v>
      </c>
      <c r="E4" s="1">
        <v>2125</v>
      </c>
      <c r="F4" s="1">
        <v>15.23809523809524</v>
      </c>
      <c r="G4" s="2">
        <v>0.08611764705882353</v>
      </c>
      <c r="H4" s="2">
        <v>0.0632181818181818</v>
      </c>
      <c r="I4" s="2">
        <v>1</v>
      </c>
      <c r="J4">
        <v>1</v>
      </c>
    </row>
    <row r="5" spans="1:10">
      <c r="A5" t="s">
        <v>175</v>
      </c>
      <c r="B5">
        <v>1</v>
      </c>
      <c r="C5">
        <v>1</v>
      </c>
      <c r="D5" s="1">
        <v>2194.117647058823</v>
      </c>
      <c r="E5" s="1">
        <v>2194.117647058823</v>
      </c>
      <c r="F5" s="1">
        <v>14.64788732394366</v>
      </c>
      <c r="G5" s="2">
        <v>0.08042895442359249</v>
      </c>
      <c r="H5" s="2">
        <v>0.0590421642700463</v>
      </c>
      <c r="I5" s="2">
        <v>0</v>
      </c>
      <c r="J5">
        <v>0</v>
      </c>
    </row>
    <row r="6" spans="1:10">
      <c r="A6" t="s">
        <v>26</v>
      </c>
      <c r="B6">
        <v>14</v>
      </c>
      <c r="C6">
        <v>85</v>
      </c>
      <c r="D6" s="1">
        <v>3307.412587412588</v>
      </c>
      <c r="E6" s="1">
        <v>3000.319693094629</v>
      </c>
      <c r="F6" s="1">
        <v>20.68965517241379</v>
      </c>
      <c r="G6" s="2">
        <v>0.07883082077051926</v>
      </c>
      <c r="H6" s="2">
        <v>0.05786898888381299</v>
      </c>
      <c r="I6" s="2">
        <v>0.2857142857142857</v>
      </c>
      <c r="J6">
        <v>4</v>
      </c>
    </row>
    <row r="7" spans="1:10">
      <c r="A7" t="s">
        <v>24</v>
      </c>
      <c r="B7">
        <v>26</v>
      </c>
      <c r="C7">
        <v>61</v>
      </c>
      <c r="D7" s="1">
        <v>2737.878787878788</v>
      </c>
      <c r="E7" s="1">
        <v>2417.214912280702</v>
      </c>
      <c r="F7" s="1">
        <v>18.75</v>
      </c>
      <c r="G7" s="2">
        <v>0.076867217630854</v>
      </c>
      <c r="H7" s="2">
        <v>0.05642752566992236</v>
      </c>
      <c r="I7" s="2">
        <v>0.2692307692307692</v>
      </c>
      <c r="J7">
        <v>7</v>
      </c>
    </row>
    <row r="8" spans="1:10">
      <c r="A8" t="s">
        <v>176</v>
      </c>
      <c r="B8">
        <v>1</v>
      </c>
      <c r="C8">
        <v>2</v>
      </c>
      <c r="D8" s="1">
        <v>3082.191780821918</v>
      </c>
      <c r="E8" s="1">
        <v>3082.191780821918</v>
      </c>
      <c r="F8" s="1">
        <v>19.21383647798742</v>
      </c>
      <c r="G8" s="2">
        <v>0.07466666666666667</v>
      </c>
      <c r="H8" s="2">
        <v>0.05481212121212121</v>
      </c>
      <c r="I8" s="2">
        <v>0</v>
      </c>
      <c r="J8">
        <v>0</v>
      </c>
    </row>
    <row r="9" spans="1:10">
      <c r="A9" t="s">
        <v>177</v>
      </c>
      <c r="B9">
        <v>1</v>
      </c>
      <c r="C9">
        <v>17</v>
      </c>
      <c r="D9" s="1">
        <v>3590.163934426229</v>
      </c>
      <c r="E9" s="1">
        <v>3590.163934426229</v>
      </c>
      <c r="F9" s="1">
        <v>20</v>
      </c>
      <c r="G9" s="2">
        <v>0.07342465753424658</v>
      </c>
      <c r="H9" s="2">
        <v>0.05390037359900372</v>
      </c>
      <c r="I9" s="2">
        <v>0</v>
      </c>
      <c r="J9">
        <v>0</v>
      </c>
    </row>
    <row r="10" spans="1:10">
      <c r="A10" t="s">
        <v>178</v>
      </c>
      <c r="B10">
        <v>4</v>
      </c>
      <c r="C10">
        <v>19</v>
      </c>
      <c r="D10" s="1">
        <v>3466.666666666667</v>
      </c>
      <c r="E10" s="1">
        <v>3333.333333333333</v>
      </c>
      <c r="F10" s="1">
        <v>18</v>
      </c>
      <c r="G10" s="2">
        <v>0.07055555555555557</v>
      </c>
      <c r="H10" s="2">
        <v>0.05179419191919191</v>
      </c>
      <c r="I10" s="2">
        <v>0</v>
      </c>
      <c r="J10">
        <v>0</v>
      </c>
    </row>
    <row r="11" spans="1:10">
      <c r="A11" t="s">
        <v>29</v>
      </c>
      <c r="B11">
        <v>4</v>
      </c>
      <c r="C11">
        <v>64</v>
      </c>
      <c r="D11" s="1">
        <v>3237.084148727984</v>
      </c>
      <c r="E11" s="1">
        <v>3049.946360785608</v>
      </c>
      <c r="F11" s="1">
        <v>20</v>
      </c>
      <c r="G11" s="2">
        <v>0.06975474239533055</v>
      </c>
      <c r="H11" s="2">
        <v>0.05120632225839038</v>
      </c>
      <c r="I11" s="2">
        <v>0.25</v>
      </c>
      <c r="J11">
        <v>1</v>
      </c>
    </row>
    <row r="12" spans="1:10">
      <c r="A12" t="s">
        <v>34</v>
      </c>
      <c r="B12">
        <v>2</v>
      </c>
      <c r="C12">
        <v>1</v>
      </c>
      <c r="D12" s="1">
        <v>3196.975131516021</v>
      </c>
      <c r="E12" s="1">
        <v>3040.560736489718</v>
      </c>
      <c r="F12" s="1">
        <v>17.71428571428572</v>
      </c>
      <c r="G12" s="2">
        <v>0.06695406710997201</v>
      </c>
      <c r="H12" s="2">
        <v>0.04915037199209308</v>
      </c>
      <c r="I12" s="2">
        <v>0.5</v>
      </c>
      <c r="J12">
        <v>1</v>
      </c>
    </row>
    <row r="13" spans="1:10">
      <c r="A13" t="s">
        <v>32</v>
      </c>
      <c r="B13">
        <v>7</v>
      </c>
      <c r="C13">
        <v>6</v>
      </c>
      <c r="D13" s="1">
        <v>3075.384615384615</v>
      </c>
      <c r="E13" s="1">
        <v>2871.428571428572</v>
      </c>
      <c r="F13" s="1">
        <v>17.09201388888889</v>
      </c>
      <c r="G13" s="2">
        <v>0.06663331665832917</v>
      </c>
      <c r="H13" s="2">
        <v>0.04891491200145526</v>
      </c>
      <c r="I13" s="2">
        <v>0.2857142857142857</v>
      </c>
      <c r="J13">
        <v>2</v>
      </c>
    </row>
    <row r="14" spans="1:10">
      <c r="A14" t="s">
        <v>30</v>
      </c>
      <c r="B14">
        <v>4</v>
      </c>
      <c r="C14">
        <v>9</v>
      </c>
      <c r="D14" s="1">
        <v>3248.602727475967</v>
      </c>
      <c r="E14" s="1">
        <v>3055.880281690141</v>
      </c>
      <c r="F14" s="1">
        <v>12.26890756302521</v>
      </c>
      <c r="G14" s="2">
        <v>0.06644112356441123</v>
      </c>
      <c r="H14" s="2">
        <v>0.04877382479842006</v>
      </c>
      <c r="I14" s="2">
        <v>0.25</v>
      </c>
      <c r="J14">
        <v>1</v>
      </c>
    </row>
    <row r="15" spans="1:10">
      <c r="A15" t="s">
        <v>25</v>
      </c>
      <c r="B15">
        <v>4</v>
      </c>
      <c r="C15">
        <v>7</v>
      </c>
      <c r="D15" s="1">
        <v>3647.271952259165</v>
      </c>
      <c r="E15" s="1">
        <v>2892.546583850932</v>
      </c>
      <c r="F15" s="1">
        <v>15.35714285714286</v>
      </c>
      <c r="G15" s="2">
        <v>0.06575353218210361</v>
      </c>
      <c r="H15" s="2">
        <v>0.04826907021549878</v>
      </c>
      <c r="I15" s="2">
        <v>0.25</v>
      </c>
      <c r="J15">
        <v>1</v>
      </c>
    </row>
    <row r="16" spans="1:10">
      <c r="A16" t="s">
        <v>27</v>
      </c>
      <c r="B16">
        <v>2</v>
      </c>
      <c r="C16">
        <v>8</v>
      </c>
      <c r="D16" s="1">
        <v>2716.79104477612</v>
      </c>
      <c r="E16" s="1">
        <v>2433.39552238806</v>
      </c>
      <c r="F16" s="1">
        <v>13.29761904761905</v>
      </c>
      <c r="G16" s="2">
        <v>0.06567653276955603</v>
      </c>
      <c r="H16" s="2">
        <v>0.04821254564674226</v>
      </c>
      <c r="I16" s="2">
        <v>0.5</v>
      </c>
      <c r="J16">
        <v>1</v>
      </c>
    </row>
    <row r="17" spans="1:10">
      <c r="A17" t="s">
        <v>28</v>
      </c>
      <c r="B17">
        <v>20</v>
      </c>
      <c r="C17">
        <v>43</v>
      </c>
      <c r="D17" s="1">
        <v>2917.849761526232</v>
      </c>
      <c r="E17" s="1">
        <v>2659.714285714286</v>
      </c>
      <c r="F17" s="1">
        <v>15</v>
      </c>
      <c r="G17" s="2">
        <v>0.06532874824888592</v>
      </c>
      <c r="H17" s="2">
        <v>0.04795724019179579</v>
      </c>
      <c r="I17" s="2">
        <v>0.25</v>
      </c>
      <c r="J17">
        <v>5</v>
      </c>
    </row>
    <row r="18" spans="1:10">
      <c r="A18" t="s">
        <v>179</v>
      </c>
      <c r="B18">
        <v>1</v>
      </c>
      <c r="C18">
        <v>1</v>
      </c>
      <c r="D18" s="1">
        <v>2529.736842105263</v>
      </c>
      <c r="E18" s="1">
        <v>2529.736842105263</v>
      </c>
      <c r="F18" s="1">
        <v>13.75</v>
      </c>
      <c r="G18" s="2">
        <v>0.06491209820035369</v>
      </c>
      <c r="H18" s="2">
        <v>0.04765138117889599</v>
      </c>
      <c r="I18" s="2">
        <v>0</v>
      </c>
      <c r="J18">
        <v>0</v>
      </c>
    </row>
    <row r="19" spans="1:10">
      <c r="A19" t="s">
        <v>31</v>
      </c>
      <c r="B19">
        <v>2</v>
      </c>
      <c r="C19">
        <v>15</v>
      </c>
      <c r="D19" s="1">
        <v>2895.240384615385</v>
      </c>
      <c r="E19" s="1">
        <v>2728.245192307692</v>
      </c>
      <c r="F19" s="1">
        <v>14.13333333333333</v>
      </c>
      <c r="G19" s="2">
        <v>0.06372413273559116</v>
      </c>
      <c r="H19" s="2">
        <v>0.04677930653089987</v>
      </c>
      <c r="I19" s="2">
        <v>0.5</v>
      </c>
      <c r="J19">
        <v>1</v>
      </c>
    </row>
    <row r="20" spans="1:10">
      <c r="A20" t="s">
        <v>37</v>
      </c>
      <c r="B20">
        <v>3</v>
      </c>
      <c r="C20">
        <v>2</v>
      </c>
      <c r="D20" s="1">
        <v>2533.333333333333</v>
      </c>
      <c r="E20" s="1">
        <v>2500</v>
      </c>
      <c r="F20" s="1">
        <v>13.35628227194492</v>
      </c>
      <c r="G20" s="2">
        <v>0.06315789473684211</v>
      </c>
      <c r="H20" s="2">
        <v>0.04636363636363636</v>
      </c>
      <c r="I20" s="2">
        <v>0.3333333333333333</v>
      </c>
      <c r="J20">
        <v>1</v>
      </c>
    </row>
    <row r="21" spans="1:10">
      <c r="A21" t="s">
        <v>180</v>
      </c>
      <c r="B21">
        <v>1</v>
      </c>
      <c r="C21">
        <v>4</v>
      </c>
      <c r="D21" s="1">
        <v>3357.142857142857</v>
      </c>
      <c r="E21" s="1">
        <v>3357.142857142857</v>
      </c>
      <c r="F21" s="1">
        <v>14.95192307692308</v>
      </c>
      <c r="G21" s="2">
        <v>0.05974468085106383</v>
      </c>
      <c r="H21" s="2">
        <v>0.04385802707930367</v>
      </c>
      <c r="I21" s="2">
        <v>0</v>
      </c>
      <c r="J21">
        <v>0</v>
      </c>
    </row>
    <row r="22" spans="1:10">
      <c r="A22" t="s">
        <v>181</v>
      </c>
      <c r="B22">
        <v>1</v>
      </c>
      <c r="C22">
        <v>4</v>
      </c>
      <c r="D22" s="1">
        <v>3298</v>
      </c>
      <c r="E22" s="1">
        <v>3298</v>
      </c>
      <c r="F22" s="1">
        <v>15.2142375168691</v>
      </c>
      <c r="G22" s="2">
        <v>0.05530624620982413</v>
      </c>
      <c r="H22" s="2">
        <v>0.04059981255857543</v>
      </c>
      <c r="I22" s="2">
        <v>0</v>
      </c>
      <c r="J22">
        <v>0</v>
      </c>
    </row>
    <row r="23" spans="1:10">
      <c r="A23" t="s">
        <v>33</v>
      </c>
      <c r="B23">
        <v>2</v>
      </c>
      <c r="C23">
        <v>5</v>
      </c>
      <c r="D23" s="1">
        <v>3126.386443661971</v>
      </c>
      <c r="E23" s="1">
        <v>2900.517165492958</v>
      </c>
      <c r="F23" s="1">
        <v>12.8</v>
      </c>
      <c r="G23" s="2">
        <v>0.05181646971170761</v>
      </c>
      <c r="H23" s="2">
        <v>0.03803799935654899</v>
      </c>
      <c r="I23" s="2">
        <v>0.5</v>
      </c>
      <c r="J23">
        <v>1</v>
      </c>
    </row>
    <row r="24" spans="1:10">
      <c r="A24" t="s">
        <v>38</v>
      </c>
      <c r="B24">
        <v>2</v>
      </c>
      <c r="C24">
        <v>11</v>
      </c>
      <c r="D24" s="1">
        <v>3724.705882352941</v>
      </c>
      <c r="E24" s="1">
        <v>3627.058823529412</v>
      </c>
      <c r="F24" s="1">
        <v>14.91666666666667</v>
      </c>
      <c r="G24" s="2">
        <v>0.04820918367346939</v>
      </c>
      <c r="H24" s="2">
        <v>0.03538992346938775</v>
      </c>
      <c r="I24" s="2">
        <v>0.5</v>
      </c>
      <c r="J24">
        <v>1</v>
      </c>
    </row>
    <row r="25" spans="1:10">
      <c r="A25" t="s">
        <v>182</v>
      </c>
      <c r="B25">
        <v>1</v>
      </c>
      <c r="C25">
        <v>2</v>
      </c>
      <c r="D25" s="1">
        <v>3576.923076923077</v>
      </c>
      <c r="E25" s="1">
        <v>3576.923076923077</v>
      </c>
      <c r="F25" s="1">
        <v>13.67109634551495</v>
      </c>
      <c r="G25" s="2">
        <v>0.04580645161290323</v>
      </c>
      <c r="H25" s="2">
        <v>0.03362609970674486</v>
      </c>
      <c r="I25" s="2">
        <v>0</v>
      </c>
      <c r="J25">
        <v>0</v>
      </c>
    </row>
    <row r="26" spans="1:10">
      <c r="A26" t="s">
        <v>183</v>
      </c>
      <c r="B26">
        <v>1</v>
      </c>
      <c r="C26">
        <v>2</v>
      </c>
      <c r="D26" s="1">
        <v>3025.316455696202</v>
      </c>
      <c r="E26" s="1">
        <v>3025.316455696202</v>
      </c>
      <c r="F26" s="1">
        <v>11.07142857142857</v>
      </c>
      <c r="G26" s="2">
        <v>0.04368200836820084</v>
      </c>
      <c r="H26" s="2">
        <v>0.03206656523392925</v>
      </c>
      <c r="I26" s="2">
        <v>0</v>
      </c>
      <c r="J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3" t="s">
        <v>184</v>
      </c>
      <c r="B1" s="3" t="s">
        <v>185</v>
      </c>
      <c r="C1" s="3" t="s">
        <v>186</v>
      </c>
    </row>
    <row r="2" spans="1:3">
      <c r="A2" t="s">
        <v>187</v>
      </c>
      <c r="B2" t="s">
        <v>196</v>
      </c>
      <c r="C2" t="s">
        <v>200</v>
      </c>
    </row>
    <row r="3" spans="1:3">
      <c r="A3" t="s">
        <v>188</v>
      </c>
      <c r="B3" t="s">
        <v>197</v>
      </c>
      <c r="C3" t="s">
        <v>201</v>
      </c>
    </row>
    <row r="4" spans="1:3">
      <c r="A4" t="s">
        <v>189</v>
      </c>
      <c r="B4" t="s">
        <v>198</v>
      </c>
      <c r="C4" t="s">
        <v>202</v>
      </c>
    </row>
    <row r="5" spans="1:3">
      <c r="A5" t="s">
        <v>190</v>
      </c>
      <c r="B5" t="s">
        <v>199</v>
      </c>
      <c r="C5" t="s">
        <v>203</v>
      </c>
    </row>
    <row r="6" spans="1:3">
      <c r="A6" t="s">
        <v>191</v>
      </c>
      <c r="B6">
        <v>0.4</v>
      </c>
      <c r="C6" t="s">
        <v>204</v>
      </c>
    </row>
    <row r="7" spans="1:3">
      <c r="A7" t="s">
        <v>192</v>
      </c>
      <c r="B7">
        <v>0.3</v>
      </c>
      <c r="C7" t="s">
        <v>205</v>
      </c>
    </row>
    <row r="8" spans="1:3">
      <c r="A8" t="s">
        <v>193</v>
      </c>
      <c r="B8">
        <v>0.1</v>
      </c>
      <c r="C8" t="s">
        <v>206</v>
      </c>
    </row>
    <row r="9" spans="1:3">
      <c r="A9" t="s">
        <v>194</v>
      </c>
      <c r="B9">
        <v>0.1</v>
      </c>
      <c r="C9" t="s">
        <v>207</v>
      </c>
    </row>
    <row r="10" spans="1:3">
      <c r="A10" t="s">
        <v>195</v>
      </c>
      <c r="B10">
        <v>0.1</v>
      </c>
      <c r="C10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3" t="s">
        <v>209</v>
      </c>
      <c r="B1" s="3" t="s">
        <v>210</v>
      </c>
      <c r="C1" s="3" t="s">
        <v>211</v>
      </c>
      <c r="D1" s="3" t="s">
        <v>212</v>
      </c>
    </row>
    <row r="2" spans="1:4">
      <c r="A2" t="s">
        <v>213</v>
      </c>
      <c r="B2" t="s">
        <v>215</v>
      </c>
      <c r="C2">
        <v>1870</v>
      </c>
      <c r="D2" t="s">
        <v>217</v>
      </c>
    </row>
    <row r="3" spans="1:4">
      <c r="A3" t="s">
        <v>213</v>
      </c>
      <c r="B3" t="s">
        <v>216</v>
      </c>
      <c r="C3">
        <v>625</v>
      </c>
      <c r="D3" t="s">
        <v>217</v>
      </c>
    </row>
    <row r="4" spans="1:4">
      <c r="A4" t="s">
        <v>214</v>
      </c>
      <c r="B4" t="s">
        <v>215</v>
      </c>
      <c r="C4">
        <v>15</v>
      </c>
      <c r="D4" t="s">
        <v>218</v>
      </c>
    </row>
    <row r="5" spans="1:4">
      <c r="A5" t="s">
        <v>214</v>
      </c>
      <c r="B5" t="s">
        <v>215</v>
      </c>
      <c r="C5">
        <v>13</v>
      </c>
      <c r="D5" t="s">
        <v>219</v>
      </c>
    </row>
    <row r="6" spans="1:4">
      <c r="A6" t="s">
        <v>214</v>
      </c>
      <c r="B6" t="s">
        <v>215</v>
      </c>
      <c r="C6">
        <v>0</v>
      </c>
      <c r="D6" t="s">
        <v>220</v>
      </c>
    </row>
    <row r="7" spans="1:4">
      <c r="A7" t="s">
        <v>214</v>
      </c>
      <c r="B7" t="s">
        <v>215</v>
      </c>
      <c r="C7">
        <v>1710</v>
      </c>
      <c r="D7" t="s">
        <v>221</v>
      </c>
    </row>
    <row r="8" spans="1:4">
      <c r="A8" t="s">
        <v>214</v>
      </c>
      <c r="B8" t="s">
        <v>215</v>
      </c>
      <c r="C8">
        <v>5</v>
      </c>
      <c r="D8" t="s">
        <v>222</v>
      </c>
    </row>
    <row r="9" spans="1:4">
      <c r="A9" t="s">
        <v>214</v>
      </c>
      <c r="B9" t="s">
        <v>216</v>
      </c>
      <c r="C9">
        <v>238</v>
      </c>
      <c r="D9" t="s">
        <v>222</v>
      </c>
    </row>
    <row r="10" spans="1:4">
      <c r="A10" t="s">
        <v>214</v>
      </c>
      <c r="B10" t="s">
        <v>215</v>
      </c>
      <c r="C10">
        <v>110</v>
      </c>
      <c r="D10" t="s">
        <v>223</v>
      </c>
    </row>
    <row r="11" spans="1:4">
      <c r="A11" t="s">
        <v>214</v>
      </c>
      <c r="B11" t="s">
        <v>216</v>
      </c>
      <c r="C11">
        <v>387</v>
      </c>
      <c r="D1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oportunidades</vt:lpstr>
      <vt:lpstr>distritos_resumen</vt:lpstr>
      <vt:lpstr>parametros</vt:lpstr>
      <vt:lpstr>log_calidad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2026-01-15T15:52:03Z</dcterms:created>
  <dcterms:modified xsi:type="dcterms:W3CDTF">2026-01-15T15:52:03Z</dcterms:modified>
</cp:coreProperties>
</file>