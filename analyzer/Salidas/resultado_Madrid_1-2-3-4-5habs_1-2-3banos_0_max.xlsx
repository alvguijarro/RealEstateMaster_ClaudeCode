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ortunidades" sheetId="1" r:id="rId1"/>
    <sheet name="distritos_resumen" sheetId="2" r:id="rId2"/>
    <sheet name="parametros" sheetId="3" r:id="rId3"/>
    <sheet name="log_calidad" sheetId="4" r:id="rId4"/>
  </sheets>
  <calcPr calcId="124519" fullCalcOnLoad="1"/>
</workbook>
</file>

<file path=xl/sharedStrings.xml><?xml version="1.0" encoding="utf-8"?>
<sst xmlns="http://schemas.openxmlformats.org/spreadsheetml/2006/main" count="152" uniqueCount="125">
  <si>
    <t>Distrito</t>
  </si>
  <si>
    <t>m2</t>
  </si>
  <si>
    <t>Precio</t>
  </si>
  <si>
    <t>habs</t>
  </si>
  <si>
    <t>banos</t>
  </si>
  <si>
    <t>garaje</t>
  </si>
  <si>
    <t>terraza</t>
  </si>
  <si>
    <t>Renta_estimada/mes</t>
  </si>
  <si>
    <t>Renta_Rango</t>
  </si>
  <si>
    <t>Rentabilidad_Bruta_%</t>
  </si>
  <si>
    <t>Rentabilidad_Neta_%</t>
  </si>
  <si>
    <t>Precision</t>
  </si>
  <si>
    <t>Descuento_%</t>
  </si>
  <si>
    <t>Puntuación</t>
  </si>
  <si>
    <t>Referencia 1</t>
  </si>
  <si>
    <t>Referencia 2</t>
  </si>
  <si>
    <t>Referencia 3</t>
  </si>
  <si>
    <t>Referencia 4</t>
  </si>
  <si>
    <t>Referencia 5</t>
  </si>
  <si>
    <t>Referencia 6</t>
  </si>
  <si>
    <t>Referencia 7</t>
  </si>
  <si>
    <t>Referencia 8</t>
  </si>
  <si>
    <t>Referencia 9</t>
  </si>
  <si>
    <t>Referencia 10</t>
  </si>
  <si>
    <t>Distrito Villa de Vallecas</t>
  </si>
  <si>
    <t>Distrito Villaverde</t>
  </si>
  <si>
    <t>Distrito Centro</t>
  </si>
  <si>
    <t>Distrito Puente de Vallecas</t>
  </si>
  <si>
    <t>1200€ - 1400€</t>
  </si>
  <si>
    <t>1150€ - 1290€</t>
  </si>
  <si>
    <t>1030€ - 1190€</t>
  </si>
  <si>
    <t>890€ - 1110€</t>
  </si>
  <si>
    <t>1010€ - 1110€</t>
  </si>
  <si>
    <t>https://www.idealista.com/inmueble/110089800/</t>
  </si>
  <si>
    <t>https://www.idealista.com/inmueble/110149844/</t>
  </si>
  <si>
    <t>https://www.idealista.com/inmueble/110285995/</t>
  </si>
  <si>
    <t>https://www.idealista.com/inmueble/110028730/</t>
  </si>
  <si>
    <t>https://www.idealista.com/inmueble/110257998/</t>
  </si>
  <si>
    <t>https://www.idealista.com/inmueble/110246200/</t>
  </si>
  <si>
    <t>https://www.idealista.com/inmueble/106981098/</t>
  </si>
  <si>
    <t>https://www.idealista.com/inmueble/84470678/</t>
  </si>
  <si>
    <t>https://www.idealista.com/inmueble/84343364/</t>
  </si>
  <si>
    <t>https://www.idealista.com/inmueble/110265523/</t>
  </si>
  <si>
    <t>https://www.idealista.com/inmueble/110119680/</t>
  </si>
  <si>
    <t>https://www.idealista.com/inmueble/110225935/</t>
  </si>
  <si>
    <t>https://www.idealista.com/inmueble/36470617/</t>
  </si>
  <si>
    <t>https://www.idealista.com/inmueble/109912360/</t>
  </si>
  <si>
    <t>https://www.idealista.com/inmueble/110293285/</t>
  </si>
  <si>
    <t>https://www.idealista.com/inmueble/110295237/</t>
  </si>
  <si>
    <t>https://www.idealista.com/inmueble/109854290/</t>
  </si>
  <si>
    <t>https://www.idealista.com/inmueble/110190923/</t>
  </si>
  <si>
    <t>https://www.idealista.com/inmueble/110317515/</t>
  </si>
  <si>
    <t>https://www.idealista.com/inmueble/110237277/</t>
  </si>
  <si>
    <t>https://www.idealista.com/inmueble/109091476/</t>
  </si>
  <si>
    <t>https://www.idealista.com/inmueble/109854250/</t>
  </si>
  <si>
    <t>https://www.idealista.com/inmueble/110063089/</t>
  </si>
  <si>
    <t>https://www.idealista.com/inmueble/110270396/</t>
  </si>
  <si>
    <t>https://www.idealista.com/inmueble/108233091/</t>
  </si>
  <si>
    <t>https://www.idealista.com/inmueble/110218462/</t>
  </si>
  <si>
    <t>https://www.idealista.com/inmueble/97952355/</t>
  </si>
  <si>
    <t>https://www.idealista.com/inmueble/110304417/</t>
  </si>
  <si>
    <t>https://www.idealista.com/inmueble/109369117/</t>
  </si>
  <si>
    <t>https://www.idealista.com/inmueble/110317771/</t>
  </si>
  <si>
    <t>https://www.idealista.com/inmueble/110273032/</t>
  </si>
  <si>
    <t>https://www.idealista.com/inmueble/109931071/</t>
  </si>
  <si>
    <t>https://www.idealista.com/inmueble/110019323/</t>
  </si>
  <si>
    <t>https://www.idealista.com/inmueble/110316231/</t>
  </si>
  <si>
    <t>https://www.idealista.com/inmueble/110223820/</t>
  </si>
  <si>
    <t>https://www.idealista.com/inmueble/110255208/</t>
  </si>
  <si>
    <t>https://www.idealista.com/inmueble/108697473/</t>
  </si>
  <si>
    <t>Propiedad</t>
  </si>
  <si>
    <t>prop_venta</t>
  </si>
  <si>
    <t>prop_alq</t>
  </si>
  <si>
    <t>Mediana_Venta_m2</t>
  </si>
  <si>
    <t>P25_Venta_m2</t>
  </si>
  <si>
    <t>Mediana_Alquiler_m2</t>
  </si>
  <si>
    <t>Pct_Bajo_Mercado</t>
  </si>
  <si>
    <t>Num oportunidades</t>
  </si>
  <si>
    <t>Humanes de Madrid</t>
  </si>
  <si>
    <t>Distrito Sureste</t>
  </si>
  <si>
    <t>Distrito Noreste</t>
  </si>
  <si>
    <t>Mejorada del Campo</t>
  </si>
  <si>
    <t>Distrito La Fortuna</t>
  </si>
  <si>
    <t>Distrito Vicálvaro</t>
  </si>
  <si>
    <t>Distrito Juan de la Cierva</t>
  </si>
  <si>
    <t>Parametro</t>
  </si>
  <si>
    <t>Valor</t>
  </si>
  <si>
    <t>Descripcion</t>
  </si>
  <si>
    <t>gastos_recurrentes</t>
  </si>
  <si>
    <t>vacancia</t>
  </si>
  <si>
    <t>costes_compra</t>
  </si>
  <si>
    <t>umbral_residual_ml</t>
  </si>
  <si>
    <t>w1_descuento</t>
  </si>
  <si>
    <t>w2_yield</t>
  </si>
  <si>
    <t>w3_rebajado</t>
  </si>
  <si>
    <t>w4_zscore</t>
  </si>
  <si>
    <t>w5_comps</t>
  </si>
  <si>
    <t>15%</t>
  </si>
  <si>
    <t>5%</t>
  </si>
  <si>
    <t>10%</t>
  </si>
  <si>
    <t>-10%</t>
  </si>
  <si>
    <t>Gastos sobre renta (comunidad, IBI, seguros)</t>
  </si>
  <si>
    <t>Vacancia estimada anual</t>
  </si>
  <si>
    <t>Costes de compra (impuestos, notaria)</t>
  </si>
  <si>
    <t>Umbral para modelo ML</t>
  </si>
  <si>
    <t>Peso: descuento vs mercado</t>
  </si>
  <si>
    <t>Peso: yield bruta</t>
  </si>
  <si>
    <t>Peso: ya rebajado</t>
  </si>
  <si>
    <t>Peso: z-score</t>
  </si>
  <si>
    <t>Peso: comparables</t>
  </si>
  <si>
    <t>phase</t>
  </si>
  <si>
    <t>dataset</t>
  </si>
  <si>
    <t>rows</t>
  </si>
  <si>
    <t>note</t>
  </si>
  <si>
    <t>load</t>
  </si>
  <si>
    <t>clean</t>
  </si>
  <si>
    <t>VENTA</t>
  </si>
  <si>
    <t>ALQUILER</t>
  </si>
  <si>
    <t>initial</t>
  </si>
  <si>
    <t>excluded nuda propiedad (bool + text)</t>
  </si>
  <si>
    <t>excluded okupado (bool + text)</t>
  </si>
  <si>
    <t>excluded copropiedad (bool + text)</t>
  </si>
  <si>
    <t>interactive filters (basic)</t>
  </si>
  <si>
    <t>excluded non-common distrito</t>
  </si>
  <si>
    <t>final</t>
  </si>
</sst>
</file>

<file path=xl/styles.xml><?xml version="1.0" encoding="utf-8"?>
<styleSheet xmlns="http://schemas.openxmlformats.org/spreadsheetml/2006/main">
  <numFmts count="2">
    <numFmt numFmtId="164" formatCode="#,##0 &quot;€&quot;"/>
    <numFmt numFmtId="165" formatCode="0.00%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dealista.com/inmueble/110089800/" TargetMode="External"/><Relationship Id="rId2" Type="http://schemas.openxmlformats.org/officeDocument/2006/relationships/hyperlink" Target="https://www.idealista.com/inmueble/110246200/" TargetMode="External"/><Relationship Id="rId3" Type="http://schemas.openxmlformats.org/officeDocument/2006/relationships/hyperlink" Target="https://www.idealista.com/inmueble/110119680/" TargetMode="External"/><Relationship Id="rId4" Type="http://schemas.openxmlformats.org/officeDocument/2006/relationships/hyperlink" Target="https://www.idealista.com/inmueble/110295237/" TargetMode="External"/><Relationship Id="rId5" Type="http://schemas.openxmlformats.org/officeDocument/2006/relationships/hyperlink" Target="https://www.idealista.com/inmueble/109091476/" TargetMode="External"/><Relationship Id="rId6" Type="http://schemas.openxmlformats.org/officeDocument/2006/relationships/hyperlink" Target="https://www.idealista.com/inmueble/108233091/" TargetMode="External"/><Relationship Id="rId7" Type="http://schemas.openxmlformats.org/officeDocument/2006/relationships/hyperlink" Target="https://www.idealista.com/inmueble/110304417/" TargetMode="External"/><Relationship Id="rId8" Type="http://schemas.openxmlformats.org/officeDocument/2006/relationships/hyperlink" Target="https://www.idealista.com/inmueble/110273032/" TargetMode="External"/><Relationship Id="rId9" Type="http://schemas.openxmlformats.org/officeDocument/2006/relationships/hyperlink" Target="https://www.idealista.com/inmueble/110316231/" TargetMode="External"/><Relationship Id="rId10" Type="http://schemas.openxmlformats.org/officeDocument/2006/relationships/hyperlink" Target="https://www.idealista.com/inmueble/110255208/" TargetMode="External"/><Relationship Id="rId11" Type="http://schemas.openxmlformats.org/officeDocument/2006/relationships/hyperlink" Target="https://www.idealista.com/inmueble/110149844/" TargetMode="External"/><Relationship Id="rId12" Type="http://schemas.openxmlformats.org/officeDocument/2006/relationships/hyperlink" Target="https://www.idealista.com/inmueble/106981098/" TargetMode="External"/><Relationship Id="rId13" Type="http://schemas.openxmlformats.org/officeDocument/2006/relationships/hyperlink" Target="https://www.idealista.com/inmueble/110225935/" TargetMode="External"/><Relationship Id="rId14" Type="http://schemas.openxmlformats.org/officeDocument/2006/relationships/hyperlink" Target="https://www.idealista.com/inmueble/109854290/" TargetMode="External"/><Relationship Id="rId15" Type="http://schemas.openxmlformats.org/officeDocument/2006/relationships/hyperlink" Target="https://www.idealista.com/inmueble/109854250/" TargetMode="External"/><Relationship Id="rId16" Type="http://schemas.openxmlformats.org/officeDocument/2006/relationships/hyperlink" Target="https://www.idealista.com/inmueble/110218462/" TargetMode="External"/><Relationship Id="rId17" Type="http://schemas.openxmlformats.org/officeDocument/2006/relationships/hyperlink" Target="https://www.idealista.com/inmueble/109369117/" TargetMode="External"/><Relationship Id="rId18" Type="http://schemas.openxmlformats.org/officeDocument/2006/relationships/hyperlink" Target="https://www.idealista.com/inmueble/109931071/" TargetMode="External"/><Relationship Id="rId19" Type="http://schemas.openxmlformats.org/officeDocument/2006/relationships/hyperlink" Target="https://www.idealista.com/inmueble/110285995/" TargetMode="External"/><Relationship Id="rId20" Type="http://schemas.openxmlformats.org/officeDocument/2006/relationships/hyperlink" Target="https://www.idealista.com/inmueble/84470678/" TargetMode="External"/><Relationship Id="rId21" Type="http://schemas.openxmlformats.org/officeDocument/2006/relationships/hyperlink" Target="https://www.idealista.com/inmueble/36470617/" TargetMode="External"/><Relationship Id="rId22" Type="http://schemas.openxmlformats.org/officeDocument/2006/relationships/hyperlink" Target="https://www.idealista.com/inmueble/110190923/" TargetMode="External"/><Relationship Id="rId23" Type="http://schemas.openxmlformats.org/officeDocument/2006/relationships/hyperlink" Target="https://www.idealista.com/inmueble/110063089/" TargetMode="External"/><Relationship Id="rId24" Type="http://schemas.openxmlformats.org/officeDocument/2006/relationships/hyperlink" Target="https://www.idealista.com/inmueble/97952355/" TargetMode="External"/><Relationship Id="rId25" Type="http://schemas.openxmlformats.org/officeDocument/2006/relationships/hyperlink" Target="https://www.idealista.com/inmueble/110317771/" TargetMode="External"/><Relationship Id="rId26" Type="http://schemas.openxmlformats.org/officeDocument/2006/relationships/hyperlink" Target="https://www.idealista.com/inmueble/110019323/" TargetMode="External"/><Relationship Id="rId27" Type="http://schemas.openxmlformats.org/officeDocument/2006/relationships/hyperlink" Target="https://www.idealista.com/inmueble/110223820/" TargetMode="External"/><Relationship Id="rId28" Type="http://schemas.openxmlformats.org/officeDocument/2006/relationships/hyperlink" Target="https://www.idealista.com/inmueble/108697473/" TargetMode="External"/><Relationship Id="rId29" Type="http://schemas.openxmlformats.org/officeDocument/2006/relationships/hyperlink" Target="https://www.idealista.com/inmueble/110028730/" TargetMode="External"/><Relationship Id="rId30" Type="http://schemas.openxmlformats.org/officeDocument/2006/relationships/hyperlink" Target="https://www.idealista.com/inmueble/84343364/" TargetMode="External"/><Relationship Id="rId31" Type="http://schemas.openxmlformats.org/officeDocument/2006/relationships/hyperlink" Target="https://www.idealista.com/inmueble/109912360/" TargetMode="External"/><Relationship Id="rId32" Type="http://schemas.openxmlformats.org/officeDocument/2006/relationships/hyperlink" Target="https://www.idealista.com/inmueble/110317515/" TargetMode="External"/><Relationship Id="rId33" Type="http://schemas.openxmlformats.org/officeDocument/2006/relationships/hyperlink" Target="https://www.idealista.com/inmueble/110270396/" TargetMode="External"/><Relationship Id="rId34" Type="http://schemas.openxmlformats.org/officeDocument/2006/relationships/hyperlink" Target="https://www.idealista.com/inmueble/110257998/" TargetMode="External"/><Relationship Id="rId35" Type="http://schemas.openxmlformats.org/officeDocument/2006/relationships/hyperlink" Target="https://www.idealista.com/inmueble/110265523/" TargetMode="External"/><Relationship Id="rId36" Type="http://schemas.openxmlformats.org/officeDocument/2006/relationships/hyperlink" Target="https://www.idealista.com/inmueble/110293285/" TargetMode="External"/><Relationship Id="rId37" Type="http://schemas.openxmlformats.org/officeDocument/2006/relationships/hyperlink" Target="https://www.idealista.com/inmueble/110237277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6"/>
  <sheetViews>
    <sheetView tabSelected="1" workbookViewId="0"/>
  </sheetViews>
  <sheetFormatPr defaultRowHeight="15"/>
  <cols>
    <col min="1" max="1" width="50.7109375" customWidth="1"/>
    <col min="2" max="2" width="20.7109375" customWidth="1"/>
    <col min="4" max="5" width="15.7109375" style="1" customWidth="1"/>
    <col min="6" max="8" width="12.7109375" style="2" customWidth="1"/>
    <col min="9" max="9" width="10.7109375" customWidth="1"/>
  </cols>
  <sheetData>
    <row r="1" spans="1:25">
      <c r="A1" t="s">
        <v>70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</row>
    <row r="2" spans="1:25">
      <c r="A2" s="4">
        <f>HYPERLINK("https://www.idealista.com/inmueble/109361801/", "Piso en venta en Calle del Congosto")</f>
        <v>0</v>
      </c>
      <c r="B2" t="s">
        <v>24</v>
      </c>
      <c r="C2">
        <v>72</v>
      </c>
      <c r="D2" s="1">
        <v>188900</v>
      </c>
      <c r="E2" s="1">
        <v>3</v>
      </c>
      <c r="F2" s="2">
        <v>1</v>
      </c>
      <c r="G2" s="2" t="b">
        <v>0</v>
      </c>
      <c r="H2" s="2" t="b">
        <v>0</v>
      </c>
      <c r="I2">
        <v>1300</v>
      </c>
      <c r="J2" t="s">
        <v>28</v>
      </c>
      <c r="K2">
        <v>0.08258337744838538</v>
      </c>
      <c r="L2">
        <v>0.0606237066268829</v>
      </c>
      <c r="M2">
        <v>79.40000000000001</v>
      </c>
      <c r="N2">
        <v>0.1902434842249656</v>
      </c>
      <c r="O2">
        <v>73.7</v>
      </c>
      <c r="P2" s="5" t="s">
        <v>33</v>
      </c>
      <c r="Q2" s="5" t="s">
        <v>38</v>
      </c>
      <c r="R2" s="5" t="s">
        <v>43</v>
      </c>
      <c r="S2" s="5" t="s">
        <v>48</v>
      </c>
      <c r="T2" s="5" t="s">
        <v>53</v>
      </c>
      <c r="U2" s="5" t="s">
        <v>57</v>
      </c>
      <c r="V2" s="5" t="s">
        <v>60</v>
      </c>
      <c r="W2" s="5" t="s">
        <v>63</v>
      </c>
      <c r="X2" s="5" t="s">
        <v>66</v>
      </c>
      <c r="Y2" s="5" t="s">
        <v>68</v>
      </c>
    </row>
    <row r="3" spans="1:25">
      <c r="A3" s="4">
        <f>HYPERLINK("https://www.idealista.com/inmueble/109133176/", "Piso en venta en Calle de Nuestra Señora de Begoña")</f>
        <v>0</v>
      </c>
      <c r="B3" t="s">
        <v>25</v>
      </c>
      <c r="C3">
        <v>62</v>
      </c>
      <c r="D3" s="1">
        <v>135000</v>
      </c>
      <c r="E3" s="1">
        <v>3</v>
      </c>
      <c r="F3" s="2">
        <v>1</v>
      </c>
      <c r="G3" s="2" t="b">
        <v>0</v>
      </c>
      <c r="H3" s="2" t="b">
        <v>0</v>
      </c>
      <c r="I3">
        <v>1220</v>
      </c>
      <c r="J3" t="s">
        <v>29</v>
      </c>
      <c r="K3">
        <v>0.1084444444444444</v>
      </c>
      <c r="L3">
        <v>0.07960808080808081</v>
      </c>
      <c r="M3">
        <v>89.5</v>
      </c>
      <c r="N3">
        <v>0.1189632668282677</v>
      </c>
      <c r="O3">
        <v>68.3</v>
      </c>
      <c r="P3" s="5" t="s">
        <v>34</v>
      </c>
      <c r="Q3" s="5" t="s">
        <v>39</v>
      </c>
      <c r="R3" s="5" t="s">
        <v>44</v>
      </c>
      <c r="S3" s="5" t="s">
        <v>49</v>
      </c>
      <c r="T3" s="5" t="s">
        <v>54</v>
      </c>
      <c r="U3" s="5" t="s">
        <v>58</v>
      </c>
      <c r="V3" s="5" t="s">
        <v>61</v>
      </c>
      <c r="W3" s="5" t="s">
        <v>64</v>
      </c>
    </row>
    <row r="4" spans="1:25">
      <c r="A4" s="4">
        <f>HYPERLINK("https://www.idealista.com/inmueble/109365163/", "Piso en venta en Calle Polvoranca")</f>
        <v>0</v>
      </c>
      <c r="B4" t="s">
        <v>26</v>
      </c>
      <c r="C4">
        <v>66</v>
      </c>
      <c r="D4" s="1">
        <v>145000</v>
      </c>
      <c r="E4" s="1">
        <v>1</v>
      </c>
      <c r="F4" s="2">
        <v>2</v>
      </c>
      <c r="G4" s="2" t="b">
        <v>0</v>
      </c>
      <c r="H4" s="2" t="b">
        <v>0</v>
      </c>
      <c r="I4">
        <v>1110</v>
      </c>
      <c r="J4" t="s">
        <v>30</v>
      </c>
      <c r="K4">
        <v>0.09186206896551724</v>
      </c>
      <c r="L4">
        <v>0.06743510971786834</v>
      </c>
      <c r="M4">
        <v>78.8</v>
      </c>
      <c r="N4">
        <v>0.0565938736318513</v>
      </c>
      <c r="O4">
        <v>43.2</v>
      </c>
      <c r="P4" s="5" t="s">
        <v>35</v>
      </c>
      <c r="Q4" s="5" t="s">
        <v>40</v>
      </c>
      <c r="R4" s="5" t="s">
        <v>45</v>
      </c>
      <c r="S4" s="5" t="s">
        <v>50</v>
      </c>
      <c r="T4" s="5" t="s">
        <v>55</v>
      </c>
      <c r="U4" s="5" t="s">
        <v>59</v>
      </c>
      <c r="V4" s="5" t="s">
        <v>62</v>
      </c>
      <c r="W4" s="5" t="s">
        <v>65</v>
      </c>
      <c r="X4" s="5" t="s">
        <v>67</v>
      </c>
      <c r="Y4" s="5" t="s">
        <v>69</v>
      </c>
    </row>
    <row r="5" spans="1:25">
      <c r="A5" s="4">
        <f>HYPERLINK("https://www.idealista.com/inmueble/110098068/", "Piso en venta en Calle Cartaya")</f>
        <v>0</v>
      </c>
      <c r="B5" t="s">
        <v>26</v>
      </c>
      <c r="C5">
        <v>62</v>
      </c>
      <c r="D5" s="1">
        <v>141000</v>
      </c>
      <c r="E5" s="1">
        <v>3</v>
      </c>
      <c r="F5" s="2">
        <v>1</v>
      </c>
      <c r="G5" s="2" t="b">
        <v>0</v>
      </c>
      <c r="H5" s="2" t="b">
        <v>0</v>
      </c>
      <c r="I5">
        <v>1000</v>
      </c>
      <c r="J5" t="s">
        <v>31</v>
      </c>
      <c r="K5">
        <v>0.0851063829787234</v>
      </c>
      <c r="L5">
        <v>0.06247582205029013</v>
      </c>
      <c r="M5">
        <v>77.09999999999999</v>
      </c>
      <c r="N5">
        <v>0.02343299088075745</v>
      </c>
      <c r="O5">
        <v>32.5</v>
      </c>
      <c r="P5" s="5" t="s">
        <v>36</v>
      </c>
      <c r="Q5" s="5" t="s">
        <v>41</v>
      </c>
      <c r="R5" s="5" t="s">
        <v>46</v>
      </c>
      <c r="S5" s="5" t="s">
        <v>51</v>
      </c>
      <c r="T5" s="5" t="s">
        <v>56</v>
      </c>
    </row>
    <row r="6" spans="1:25">
      <c r="A6" s="4">
        <f>HYPERLINK("https://www.idealista.com/inmueble/110306498/", "Piso en venta en Calle del Etna")</f>
        <v>0</v>
      </c>
      <c r="B6" t="s">
        <v>27</v>
      </c>
      <c r="C6">
        <v>50</v>
      </c>
      <c r="D6" s="1">
        <v>180000</v>
      </c>
      <c r="E6" s="1">
        <v>2</v>
      </c>
      <c r="F6" s="2">
        <v>1</v>
      </c>
      <c r="G6" s="2" t="b">
        <v>0</v>
      </c>
      <c r="H6" s="2" t="b">
        <v>0</v>
      </c>
      <c r="I6">
        <v>1060</v>
      </c>
      <c r="J6" t="s">
        <v>32</v>
      </c>
      <c r="K6">
        <v>0.07066666666666667</v>
      </c>
      <c r="L6">
        <v>0.05187575757575757</v>
      </c>
      <c r="M6">
        <v>89.09999999999999</v>
      </c>
      <c r="N6">
        <v>0.01010101010101006</v>
      </c>
      <c r="O6">
        <v>20.6</v>
      </c>
      <c r="P6" s="5" t="s">
        <v>37</v>
      </c>
      <c r="Q6" s="5" t="s">
        <v>42</v>
      </c>
      <c r="R6" s="5" t="s">
        <v>47</v>
      </c>
      <c r="S6" s="5" t="s">
        <v>52</v>
      </c>
    </row>
  </sheetData>
  <hyperlinks>
    <hyperlink ref="P2" r:id="rId1"/>
    <hyperlink ref="Q2" r:id="rId2"/>
    <hyperlink ref="R2" r:id="rId3"/>
    <hyperlink ref="S2" r:id="rId4"/>
    <hyperlink ref="T2" r:id="rId5"/>
    <hyperlink ref="U2" r:id="rId6"/>
    <hyperlink ref="V2" r:id="rId7"/>
    <hyperlink ref="W2" r:id="rId8"/>
    <hyperlink ref="X2" r:id="rId9"/>
    <hyperlink ref="Y2" r:id="rId10"/>
    <hyperlink ref="P3" r:id="rId11"/>
    <hyperlink ref="Q3" r:id="rId12"/>
    <hyperlink ref="R3" r:id="rId13"/>
    <hyperlink ref="S3" r:id="rId14"/>
    <hyperlink ref="T3" r:id="rId15"/>
    <hyperlink ref="U3" r:id="rId16"/>
    <hyperlink ref="V3" r:id="rId17"/>
    <hyperlink ref="W3" r:id="rId18"/>
    <hyperlink ref="P4" r:id="rId19"/>
    <hyperlink ref="Q4" r:id="rId20"/>
    <hyperlink ref="R4" r:id="rId21"/>
    <hyperlink ref="S4" r:id="rId22"/>
    <hyperlink ref="T4" r:id="rId23"/>
    <hyperlink ref="U4" r:id="rId24"/>
    <hyperlink ref="V4" r:id="rId25"/>
    <hyperlink ref="W4" r:id="rId26"/>
    <hyperlink ref="X4" r:id="rId27"/>
    <hyperlink ref="Y4" r:id="rId28"/>
    <hyperlink ref="P5" r:id="rId29"/>
    <hyperlink ref="Q5" r:id="rId30"/>
    <hyperlink ref="R5" r:id="rId31"/>
    <hyperlink ref="S5" r:id="rId32"/>
    <hyperlink ref="T5" r:id="rId33"/>
    <hyperlink ref="P6" r:id="rId34"/>
    <hyperlink ref="Q6" r:id="rId35"/>
    <hyperlink ref="R6" r:id="rId36"/>
    <hyperlink ref="S6" r:id="rId3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cols>
    <col min="4" max="6" width="18.7109375" style="1" customWidth="1"/>
    <col min="7" max="9" width="15.7109375" style="2" customWidth="1"/>
  </cols>
  <sheetData>
    <row r="1" spans="1:10">
      <c r="A1" s="3" t="s">
        <v>0</v>
      </c>
      <c r="B1" s="3" t="s">
        <v>71</v>
      </c>
      <c r="C1" s="3" t="s">
        <v>72</v>
      </c>
      <c r="D1" s="3" t="s">
        <v>73</v>
      </c>
      <c r="E1" s="3" t="s">
        <v>74</v>
      </c>
      <c r="F1" s="3" t="s">
        <v>75</v>
      </c>
      <c r="G1" s="3" t="s">
        <v>9</v>
      </c>
      <c r="H1" s="3" t="s">
        <v>10</v>
      </c>
      <c r="I1" s="3" t="s">
        <v>76</v>
      </c>
      <c r="J1" s="3" t="s">
        <v>77</v>
      </c>
    </row>
    <row r="2" spans="1:10">
      <c r="A2" t="s">
        <v>78</v>
      </c>
      <c r="B2">
        <v>1</v>
      </c>
      <c r="C2">
        <v>1</v>
      </c>
      <c r="D2" s="1">
        <v>1750</v>
      </c>
      <c r="E2" s="1">
        <v>1750</v>
      </c>
      <c r="F2" s="1">
        <v>14.64788732394366</v>
      </c>
      <c r="G2" s="2">
        <v>0.1002857142857143</v>
      </c>
      <c r="H2" s="2">
        <v>0.07361883116883117</v>
      </c>
      <c r="I2" s="2">
        <v>0</v>
      </c>
      <c r="J2">
        <v>0</v>
      </c>
    </row>
    <row r="3" spans="1:10">
      <c r="A3" t="s">
        <v>24</v>
      </c>
      <c r="B3">
        <v>5</v>
      </c>
      <c r="C3">
        <v>85</v>
      </c>
      <c r="D3" s="1">
        <v>3240</v>
      </c>
      <c r="E3" s="1">
        <v>2665.333333333333</v>
      </c>
      <c r="F3" s="1">
        <v>20.68965517241379</v>
      </c>
      <c r="G3" s="2">
        <v>0.09514792899408284</v>
      </c>
      <c r="H3" s="2">
        <v>0.06984722969338351</v>
      </c>
      <c r="I3" s="2">
        <v>0.2</v>
      </c>
      <c r="J3">
        <v>1</v>
      </c>
    </row>
    <row r="4" spans="1:10">
      <c r="A4" t="s">
        <v>25</v>
      </c>
      <c r="B4">
        <v>3</v>
      </c>
      <c r="C4">
        <v>61</v>
      </c>
      <c r="D4" s="1">
        <v>2471.428571428572</v>
      </c>
      <c r="E4" s="1">
        <v>2324.42396313364</v>
      </c>
      <c r="F4" s="1">
        <v>18.75</v>
      </c>
      <c r="G4" s="2">
        <v>0.09434482758620689</v>
      </c>
      <c r="H4" s="2">
        <v>0.0692576802507837</v>
      </c>
      <c r="I4" s="2">
        <v>0.3333333333333333</v>
      </c>
      <c r="J4">
        <v>1</v>
      </c>
    </row>
    <row r="5" spans="1:10">
      <c r="A5" t="s">
        <v>26</v>
      </c>
      <c r="B5">
        <v>4</v>
      </c>
      <c r="C5">
        <v>43</v>
      </c>
      <c r="D5" s="1">
        <v>2328.763440860215</v>
      </c>
      <c r="E5" s="1">
        <v>2254.887585532747</v>
      </c>
      <c r="F5" s="1">
        <v>15</v>
      </c>
      <c r="G5" s="2">
        <v>0.07947626841243863</v>
      </c>
      <c r="H5" s="2">
        <v>0.05834280613004017</v>
      </c>
      <c r="I5" s="2">
        <v>0.5</v>
      </c>
      <c r="J5">
        <v>2</v>
      </c>
    </row>
    <row r="6" spans="1:10">
      <c r="A6" t="s">
        <v>79</v>
      </c>
      <c r="B6">
        <v>1</v>
      </c>
      <c r="C6">
        <v>14</v>
      </c>
      <c r="D6" s="1">
        <v>3071.428571428572</v>
      </c>
      <c r="E6" s="1">
        <v>3071.428571428572</v>
      </c>
      <c r="F6" s="1">
        <v>17.08333333333334</v>
      </c>
      <c r="G6" s="2">
        <v>0.07534883720930233</v>
      </c>
      <c r="H6" s="2">
        <v>0.05531289640591965</v>
      </c>
      <c r="I6" s="2">
        <v>0</v>
      </c>
      <c r="J6">
        <v>0</v>
      </c>
    </row>
    <row r="7" spans="1:10">
      <c r="A7" t="s">
        <v>80</v>
      </c>
      <c r="B7">
        <v>1</v>
      </c>
      <c r="C7">
        <v>7</v>
      </c>
      <c r="D7" s="1">
        <v>2735.632183908046</v>
      </c>
      <c r="E7" s="1">
        <v>2735.632183908046</v>
      </c>
      <c r="F7" s="1">
        <v>18</v>
      </c>
      <c r="G7" s="2">
        <v>0.07109243697478991</v>
      </c>
      <c r="H7" s="2">
        <v>0.05218831168831168</v>
      </c>
      <c r="I7" s="2">
        <v>0</v>
      </c>
      <c r="J7">
        <v>0</v>
      </c>
    </row>
    <row r="8" spans="1:10">
      <c r="A8" t="s">
        <v>27</v>
      </c>
      <c r="B8">
        <v>2</v>
      </c>
      <c r="C8">
        <v>19</v>
      </c>
      <c r="D8" s="1">
        <v>3636.734693877551</v>
      </c>
      <c r="E8" s="1">
        <v>3618.367346938775</v>
      </c>
      <c r="F8" s="1">
        <v>18</v>
      </c>
      <c r="G8" s="2">
        <v>0.07000000000000001</v>
      </c>
      <c r="H8" s="2">
        <v>0.05138636363636363</v>
      </c>
      <c r="I8" s="2">
        <v>0.5</v>
      </c>
      <c r="J8">
        <v>1</v>
      </c>
    </row>
    <row r="9" spans="1:10">
      <c r="A9" t="s">
        <v>81</v>
      </c>
      <c r="B9">
        <v>1</v>
      </c>
      <c r="C9">
        <v>2</v>
      </c>
      <c r="D9" s="1">
        <v>2312.5</v>
      </c>
      <c r="E9" s="1">
        <v>2312.5</v>
      </c>
      <c r="F9" s="1">
        <v>11.1546499477534</v>
      </c>
      <c r="G9" s="2">
        <v>0.06875675675675676</v>
      </c>
      <c r="H9" s="2">
        <v>0.05047371007371006</v>
      </c>
      <c r="I9" s="2">
        <v>0</v>
      </c>
      <c r="J9">
        <v>0</v>
      </c>
    </row>
    <row r="10" spans="1:10">
      <c r="A10" t="s">
        <v>82</v>
      </c>
      <c r="B10">
        <v>1</v>
      </c>
      <c r="C10">
        <v>4</v>
      </c>
      <c r="D10" s="1">
        <v>2883.333333333333</v>
      </c>
      <c r="E10" s="1">
        <v>2883.333333333333</v>
      </c>
      <c r="F10" s="1">
        <v>15.2142375168691</v>
      </c>
      <c r="G10" s="2">
        <v>0.06312138728323699</v>
      </c>
      <c r="H10" s="2">
        <v>0.04633683657383079</v>
      </c>
      <c r="I10" s="2">
        <v>0</v>
      </c>
      <c r="J10">
        <v>0</v>
      </c>
    </row>
    <row r="11" spans="1:10">
      <c r="A11" t="s">
        <v>83</v>
      </c>
      <c r="B11">
        <v>1</v>
      </c>
      <c r="C11">
        <v>64</v>
      </c>
      <c r="D11" s="1">
        <v>3961.904761904762</v>
      </c>
      <c r="E11" s="1">
        <v>3961.904761904762</v>
      </c>
      <c r="F11" s="1">
        <v>20</v>
      </c>
      <c r="G11" s="2">
        <v>0.05432692307692308</v>
      </c>
      <c r="H11" s="2">
        <v>0.03988090034965035</v>
      </c>
      <c r="I11" s="2">
        <v>0</v>
      </c>
      <c r="J11">
        <v>0</v>
      </c>
    </row>
    <row r="12" spans="1:10">
      <c r="A12" t="s">
        <v>84</v>
      </c>
      <c r="B12">
        <v>1</v>
      </c>
      <c r="C12">
        <v>2</v>
      </c>
      <c r="D12" s="1">
        <v>2940.298507462687</v>
      </c>
      <c r="E12" s="1">
        <v>2940.298507462687</v>
      </c>
      <c r="F12" s="1">
        <v>13.35628227194492</v>
      </c>
      <c r="G12" s="2">
        <v>0.05421319796954314</v>
      </c>
      <c r="H12" s="2">
        <v>0.03979741578218735</v>
      </c>
      <c r="I12" s="2">
        <v>0</v>
      </c>
      <c r="J1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3" t="s">
        <v>85</v>
      </c>
      <c r="B1" s="3" t="s">
        <v>86</v>
      </c>
      <c r="C1" s="3" t="s">
        <v>87</v>
      </c>
    </row>
    <row r="2" spans="1:3">
      <c r="A2" t="s">
        <v>88</v>
      </c>
      <c r="B2" t="s">
        <v>97</v>
      </c>
      <c r="C2" t="s">
        <v>101</v>
      </c>
    </row>
    <row r="3" spans="1:3">
      <c r="A3" t="s">
        <v>89</v>
      </c>
      <c r="B3" t="s">
        <v>98</v>
      </c>
      <c r="C3" t="s">
        <v>102</v>
      </c>
    </row>
    <row r="4" spans="1:3">
      <c r="A4" t="s">
        <v>90</v>
      </c>
      <c r="B4" t="s">
        <v>99</v>
      </c>
      <c r="C4" t="s">
        <v>103</v>
      </c>
    </row>
    <row r="5" spans="1:3">
      <c r="A5" t="s">
        <v>91</v>
      </c>
      <c r="B5" t="s">
        <v>100</v>
      </c>
      <c r="C5" t="s">
        <v>104</v>
      </c>
    </row>
    <row r="6" spans="1:3">
      <c r="A6" t="s">
        <v>92</v>
      </c>
      <c r="B6">
        <v>0.4</v>
      </c>
      <c r="C6" t="s">
        <v>105</v>
      </c>
    </row>
    <row r="7" spans="1:3">
      <c r="A7" t="s">
        <v>93</v>
      </c>
      <c r="B7">
        <v>0.3</v>
      </c>
      <c r="C7" t="s">
        <v>106</v>
      </c>
    </row>
    <row r="8" spans="1:3">
      <c r="A8" t="s">
        <v>94</v>
      </c>
      <c r="B8">
        <v>0.1</v>
      </c>
      <c r="C8" t="s">
        <v>107</v>
      </c>
    </row>
    <row r="9" spans="1:3">
      <c r="A9" t="s">
        <v>95</v>
      </c>
      <c r="B9">
        <v>0.1</v>
      </c>
      <c r="C9" t="s">
        <v>108</v>
      </c>
    </row>
    <row r="10" spans="1:3">
      <c r="A10" t="s">
        <v>96</v>
      </c>
      <c r="B10">
        <v>0.1</v>
      </c>
      <c r="C10" t="s">
        <v>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3" t="s">
        <v>110</v>
      </c>
      <c r="B1" s="3" t="s">
        <v>111</v>
      </c>
      <c r="C1" s="3" t="s">
        <v>112</v>
      </c>
      <c r="D1" s="3" t="s">
        <v>113</v>
      </c>
    </row>
    <row r="2" spans="1:4">
      <c r="A2" t="s">
        <v>114</v>
      </c>
      <c r="B2" t="s">
        <v>116</v>
      </c>
      <c r="C2">
        <v>1870</v>
      </c>
      <c r="D2" t="s">
        <v>118</v>
      </c>
    </row>
    <row r="3" spans="1:4">
      <c r="A3" t="s">
        <v>114</v>
      </c>
      <c r="B3" t="s">
        <v>117</v>
      </c>
      <c r="C3">
        <v>625</v>
      </c>
      <c r="D3" t="s">
        <v>118</v>
      </c>
    </row>
    <row r="4" spans="1:4">
      <c r="A4" t="s">
        <v>115</v>
      </c>
      <c r="B4" t="s">
        <v>116</v>
      </c>
      <c r="C4">
        <v>15</v>
      </c>
      <c r="D4" t="s">
        <v>119</v>
      </c>
    </row>
    <row r="5" spans="1:4">
      <c r="A5" t="s">
        <v>115</v>
      </c>
      <c r="B5" t="s">
        <v>116</v>
      </c>
      <c r="C5">
        <v>13</v>
      </c>
      <c r="D5" t="s">
        <v>120</v>
      </c>
    </row>
    <row r="6" spans="1:4">
      <c r="A6" t="s">
        <v>115</v>
      </c>
      <c r="B6" t="s">
        <v>116</v>
      </c>
      <c r="C6">
        <v>0</v>
      </c>
      <c r="D6" t="s">
        <v>121</v>
      </c>
    </row>
    <row r="7" spans="1:4">
      <c r="A7" t="s">
        <v>115</v>
      </c>
      <c r="B7" t="s">
        <v>116</v>
      </c>
      <c r="C7">
        <v>1820</v>
      </c>
      <c r="D7" t="s">
        <v>122</v>
      </c>
    </row>
    <row r="8" spans="1:4">
      <c r="A8" t="s">
        <v>115</v>
      </c>
      <c r="B8" t="s">
        <v>116</v>
      </c>
      <c r="C8">
        <v>1</v>
      </c>
      <c r="D8" t="s">
        <v>123</v>
      </c>
    </row>
    <row r="9" spans="1:4">
      <c r="A9" t="s">
        <v>115</v>
      </c>
      <c r="B9" t="s">
        <v>117</v>
      </c>
      <c r="C9">
        <v>323</v>
      </c>
      <c r="D9" t="s">
        <v>123</v>
      </c>
    </row>
    <row r="10" spans="1:4">
      <c r="A10" t="s">
        <v>115</v>
      </c>
      <c r="B10" t="s">
        <v>116</v>
      </c>
      <c r="C10">
        <v>21</v>
      </c>
      <c r="D10" t="s">
        <v>124</v>
      </c>
    </row>
    <row r="11" spans="1:4">
      <c r="A11" t="s">
        <v>115</v>
      </c>
      <c r="B11" t="s">
        <v>117</v>
      </c>
      <c r="C11">
        <v>302</v>
      </c>
      <c r="D11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oportunidades</vt:lpstr>
      <vt:lpstr>distritos_resumen</vt:lpstr>
      <vt:lpstr>parametros</vt:lpstr>
      <vt:lpstr>log_calidad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2026-01-15T14:54:46Z</dcterms:created>
  <dcterms:modified xsi:type="dcterms:W3CDTF">2026-01-15T14:54:46Z</dcterms:modified>
</cp:coreProperties>
</file>