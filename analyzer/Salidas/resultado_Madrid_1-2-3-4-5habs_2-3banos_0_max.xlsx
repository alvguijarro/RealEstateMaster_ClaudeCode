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ortunidades" sheetId="1" r:id="rId1"/>
    <sheet name="distritos_resumen" sheetId="2" r:id="rId2"/>
    <sheet name="parametros" sheetId="3" r:id="rId3"/>
    <sheet name="log_calidad" sheetId="4" r:id="rId4"/>
  </sheets>
  <calcPr calcId="124519" fullCalcOnLoad="1"/>
</workbook>
</file>

<file path=xl/sharedStrings.xml><?xml version="1.0" encoding="utf-8"?>
<sst xmlns="http://schemas.openxmlformats.org/spreadsheetml/2006/main" count="130" uniqueCount="98">
  <si>
    <t>Distrito</t>
  </si>
  <si>
    <t>m2</t>
  </si>
  <si>
    <t>Precio</t>
  </si>
  <si>
    <t>habs</t>
  </si>
  <si>
    <t>banos</t>
  </si>
  <si>
    <t>garaje</t>
  </si>
  <si>
    <t>terraza</t>
  </si>
  <si>
    <t>Renta_estimada/mes</t>
  </si>
  <si>
    <t>Renta_Rango</t>
  </si>
  <si>
    <t>Rentabilidad_Bruta_%</t>
  </si>
  <si>
    <t>Rentabilidad_Neta_%</t>
  </si>
  <si>
    <t>Precision</t>
  </si>
  <si>
    <t>Descuento_%</t>
  </si>
  <si>
    <t>Puntuación</t>
  </si>
  <si>
    <t>Referencia 1</t>
  </si>
  <si>
    <t>Referencia 2</t>
  </si>
  <si>
    <t>Referencia 3</t>
  </si>
  <si>
    <t>Referencia 4</t>
  </si>
  <si>
    <t>Referencia 5</t>
  </si>
  <si>
    <t>Referencia 6</t>
  </si>
  <si>
    <t>Referencia 7</t>
  </si>
  <si>
    <t>Referencia 8</t>
  </si>
  <si>
    <t>Referencia 9</t>
  </si>
  <si>
    <t>Referencia 10</t>
  </si>
  <si>
    <t>Distrito Villaverde</t>
  </si>
  <si>
    <t>Distrito Moratalaz</t>
  </si>
  <si>
    <t>Distrito Covibar - Pablo Iglesias</t>
  </si>
  <si>
    <t>1075€ - 1425€</t>
  </si>
  <si>
    <t>1050€ - 1575€</t>
  </si>
  <si>
    <t>1025€ - 1500€</t>
  </si>
  <si>
    <t>1175€ - 1625€</t>
  </si>
  <si>
    <t>https://www.idealista.com/inmueble/99944622/</t>
  </si>
  <si>
    <t>https://www.idealista.com/inmueble/86744349/</t>
  </si>
  <si>
    <t>https://www.idealista.com/inmueble/90240521/</t>
  </si>
  <si>
    <t>https://www.idealista.com/inmueble/103091701/</t>
  </si>
  <si>
    <t>https://www.idealista.com/inmueble/110201864/</t>
  </si>
  <si>
    <t>https://www.idealista.com/inmueble/110287474/</t>
  </si>
  <si>
    <t>https://www.idealista.com/inmueble/110271950/</t>
  </si>
  <si>
    <t>https://www.idealista.com/inmueble/110240568/</t>
  </si>
  <si>
    <t>https://www.idealista.com/inmueble/110263600/</t>
  </si>
  <si>
    <t>https://www.idealista.com/inmueble/40317656/</t>
  </si>
  <si>
    <t>https://www.idealista.com/inmueble/110267531/</t>
  </si>
  <si>
    <t>https://www.idealista.com/inmueble/110192818/</t>
  </si>
  <si>
    <t>https://www.idealista.com/inmueble/110289777/</t>
  </si>
  <si>
    <t>https://www.idealista.com/inmueble/95251998/</t>
  </si>
  <si>
    <t>https://www.idealista.com/inmueble/91402012/</t>
  </si>
  <si>
    <t>Propiedad</t>
  </si>
  <si>
    <t>prop_venta</t>
  </si>
  <si>
    <t>prop_alq</t>
  </si>
  <si>
    <t>Mediana_Venta_m2</t>
  </si>
  <si>
    <t>P25_Venta_m2</t>
  </si>
  <si>
    <t>Mediana_Alquiler_m2</t>
  </si>
  <si>
    <t>Pct_Bajo_Mercado</t>
  </si>
  <si>
    <t>Num oportunidades</t>
  </si>
  <si>
    <t>Distrito Villa de Vallecas</t>
  </si>
  <si>
    <t>Distrito Getafe Centro</t>
  </si>
  <si>
    <t>Distrito Este</t>
  </si>
  <si>
    <t>Distrito La Serna</t>
  </si>
  <si>
    <t>Parametro</t>
  </si>
  <si>
    <t>Valor</t>
  </si>
  <si>
    <t>Descripcion</t>
  </si>
  <si>
    <t>gastos_recurrentes</t>
  </si>
  <si>
    <t>vacancia</t>
  </si>
  <si>
    <t>costes_compra</t>
  </si>
  <si>
    <t>umbral_residual_ml</t>
  </si>
  <si>
    <t>w1_descuento</t>
  </si>
  <si>
    <t>w2_yield</t>
  </si>
  <si>
    <t>w3_rebajado</t>
  </si>
  <si>
    <t>w4_zscore</t>
  </si>
  <si>
    <t>w5_comps</t>
  </si>
  <si>
    <t>15%</t>
  </si>
  <si>
    <t>5%</t>
  </si>
  <si>
    <t>10%</t>
  </si>
  <si>
    <t>-10%</t>
  </si>
  <si>
    <t>Gastos sobre renta (comunidad, IBI, seguros)</t>
  </si>
  <si>
    <t>Vacancia estimada anual</t>
  </si>
  <si>
    <t>Costes de compra (impuestos, notaria)</t>
  </si>
  <si>
    <t>Umbral para modelo ML</t>
  </si>
  <si>
    <t>Peso: descuento vs mercado</t>
  </si>
  <si>
    <t>Peso: yield bruta</t>
  </si>
  <si>
    <t>Peso: ya rebajado</t>
  </si>
  <si>
    <t>Peso: z-score</t>
  </si>
  <si>
    <t>Peso: comparables</t>
  </si>
  <si>
    <t>phase</t>
  </si>
  <si>
    <t>dataset</t>
  </si>
  <si>
    <t>rows</t>
  </si>
  <si>
    <t>note</t>
  </si>
  <si>
    <t>load</t>
  </si>
  <si>
    <t>clean</t>
  </si>
  <si>
    <t>VENTA</t>
  </si>
  <si>
    <t>ALQUILER</t>
  </si>
  <si>
    <t>initial</t>
  </si>
  <si>
    <t>excluded nuda propiedad (bool + text)</t>
  </si>
  <si>
    <t>excluded okupado (bool + text)</t>
  </si>
  <si>
    <t>excluded copropiedad (bool + text)</t>
  </si>
  <si>
    <t>interactive filters (basic)</t>
  </si>
  <si>
    <t>excluded non-common distrito</t>
  </si>
  <si>
    <t>final</t>
  </si>
</sst>
</file>

<file path=xl/styles.xml><?xml version="1.0" encoding="utf-8"?>
<styleSheet xmlns="http://schemas.openxmlformats.org/spreadsheetml/2006/main">
  <numFmts count="2">
    <numFmt numFmtId="164" formatCode="#,##0 &quot;€&quot;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dealista.com/inmueble/99944622/" TargetMode="External"/><Relationship Id="rId2" Type="http://schemas.openxmlformats.org/officeDocument/2006/relationships/hyperlink" Target="https://www.idealista.com/inmueble/110201864/" TargetMode="External"/><Relationship Id="rId3" Type="http://schemas.openxmlformats.org/officeDocument/2006/relationships/hyperlink" Target="https://www.idealista.com/inmueble/110263600/" TargetMode="External"/><Relationship Id="rId4" Type="http://schemas.openxmlformats.org/officeDocument/2006/relationships/hyperlink" Target="https://www.idealista.com/inmueble/86744349/" TargetMode="External"/><Relationship Id="rId5" Type="http://schemas.openxmlformats.org/officeDocument/2006/relationships/hyperlink" Target="https://www.idealista.com/inmueble/40317656/" TargetMode="External"/><Relationship Id="rId6" Type="http://schemas.openxmlformats.org/officeDocument/2006/relationships/hyperlink" Target="https://www.idealista.com/inmueble/110287474/" TargetMode="External"/><Relationship Id="rId7" Type="http://schemas.openxmlformats.org/officeDocument/2006/relationships/hyperlink" Target="https://www.idealista.com/inmueble/110289777/" TargetMode="External"/><Relationship Id="rId8" Type="http://schemas.openxmlformats.org/officeDocument/2006/relationships/hyperlink" Target="https://www.idealista.com/inmueble/95251998/" TargetMode="External"/><Relationship Id="rId9" Type="http://schemas.openxmlformats.org/officeDocument/2006/relationships/hyperlink" Target="https://www.idealista.com/inmueble/91402012/" TargetMode="External"/><Relationship Id="rId10" Type="http://schemas.openxmlformats.org/officeDocument/2006/relationships/hyperlink" Target="https://www.idealista.com/inmueble/86744349/" TargetMode="External"/><Relationship Id="rId11" Type="http://schemas.openxmlformats.org/officeDocument/2006/relationships/hyperlink" Target="https://www.idealista.com/inmueble/110287474/" TargetMode="External"/><Relationship Id="rId12" Type="http://schemas.openxmlformats.org/officeDocument/2006/relationships/hyperlink" Target="https://www.idealista.com/inmueble/40317656/" TargetMode="External"/><Relationship Id="rId13" Type="http://schemas.openxmlformats.org/officeDocument/2006/relationships/hyperlink" Target="https://www.idealista.com/inmueble/110289777/" TargetMode="External"/><Relationship Id="rId14" Type="http://schemas.openxmlformats.org/officeDocument/2006/relationships/hyperlink" Target="https://www.idealista.com/inmueble/110201864/" TargetMode="External"/><Relationship Id="rId15" Type="http://schemas.openxmlformats.org/officeDocument/2006/relationships/hyperlink" Target="https://www.idealista.com/inmueble/95251998/" TargetMode="External"/><Relationship Id="rId16" Type="http://schemas.openxmlformats.org/officeDocument/2006/relationships/hyperlink" Target="https://www.idealista.com/inmueble/90240521/" TargetMode="External"/><Relationship Id="rId17" Type="http://schemas.openxmlformats.org/officeDocument/2006/relationships/hyperlink" Target="https://www.idealista.com/inmueble/110271950/" TargetMode="External"/><Relationship Id="rId18" Type="http://schemas.openxmlformats.org/officeDocument/2006/relationships/hyperlink" Target="https://www.idealista.com/inmueble/110267531/" TargetMode="External"/><Relationship Id="rId19" Type="http://schemas.openxmlformats.org/officeDocument/2006/relationships/hyperlink" Target="https://www.idealista.com/inmueble/103091701/" TargetMode="External"/><Relationship Id="rId20" Type="http://schemas.openxmlformats.org/officeDocument/2006/relationships/hyperlink" Target="https://www.idealista.com/inmueble/110240568/" TargetMode="External"/><Relationship Id="rId21" Type="http://schemas.openxmlformats.org/officeDocument/2006/relationships/hyperlink" Target="https://www.idealista.com/inmueble/11019281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1" max="1" width="50.7109375" customWidth="1"/>
    <col min="2" max="2" width="20.7109375" customWidth="1"/>
    <col min="4" max="5" width="15.7109375" style="1" customWidth="1"/>
    <col min="6" max="8" width="12.7109375" style="2" customWidth="1"/>
    <col min="9" max="9" width="10.7109375" customWidth="1"/>
  </cols>
  <sheetData>
    <row r="1" spans="1:25">
      <c r="A1" t="s">
        <v>46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</row>
    <row r="2" spans="1:25">
      <c r="A2" s="4">
        <f>HYPERLINK("https://www.idealista.com/inmueble/110139506/", "Piso en venta en Calle Alberto Palacios")</f>
        <v>0</v>
      </c>
      <c r="B2" t="s">
        <v>24</v>
      </c>
      <c r="C2">
        <v>125</v>
      </c>
      <c r="D2" s="1">
        <v>254000</v>
      </c>
      <c r="E2" s="1">
        <v>2</v>
      </c>
      <c r="F2" s="2">
        <v>2</v>
      </c>
      <c r="G2" s="2" t="b">
        <v>0</v>
      </c>
      <c r="H2" s="2" t="b">
        <v>0</v>
      </c>
      <c r="I2">
        <v>1350</v>
      </c>
      <c r="J2" t="s">
        <v>27</v>
      </c>
      <c r="K2">
        <v>0.06377952755905512</v>
      </c>
      <c r="L2">
        <v>0.04681997136721546</v>
      </c>
      <c r="M2">
        <v>75.2</v>
      </c>
      <c r="N2">
        <v>0.2649302750748728</v>
      </c>
      <c r="O2">
        <v>85.5</v>
      </c>
      <c r="P2" s="5" t="s">
        <v>31</v>
      </c>
      <c r="Q2" s="5" t="s">
        <v>35</v>
      </c>
      <c r="R2" s="5" t="s">
        <v>39</v>
      </c>
      <c r="S2" s="5" t="s">
        <v>32</v>
      </c>
      <c r="T2" s="5" t="s">
        <v>40</v>
      </c>
      <c r="U2" s="5" t="s">
        <v>36</v>
      </c>
      <c r="V2" s="5" t="s">
        <v>43</v>
      </c>
      <c r="W2" s="5" t="s">
        <v>44</v>
      </c>
      <c r="X2" s="5" t="s">
        <v>45</v>
      </c>
    </row>
    <row r="3" spans="1:25">
      <c r="A3" s="4">
        <f>HYPERLINK("https://www.idealista.com/inmueble/108819748/", "Piso en venta en Villaverde Alto")</f>
        <v>0</v>
      </c>
      <c r="B3" t="s">
        <v>24</v>
      </c>
      <c r="C3">
        <v>106</v>
      </c>
      <c r="D3" s="1">
        <v>242000</v>
      </c>
      <c r="E3" s="1">
        <v>3</v>
      </c>
      <c r="F3" s="2">
        <v>2</v>
      </c>
      <c r="G3" s="2" t="b">
        <v>0</v>
      </c>
      <c r="H3" s="2" t="b">
        <v>0</v>
      </c>
      <c r="I3">
        <v>1425</v>
      </c>
      <c r="J3" t="s">
        <v>28</v>
      </c>
      <c r="K3">
        <v>0.07066115702479339</v>
      </c>
      <c r="L3">
        <v>0.05187171299774605</v>
      </c>
      <c r="M3">
        <v>94.59999999999999</v>
      </c>
      <c r="N3">
        <v>0.1741249747814181</v>
      </c>
      <c r="O3">
        <v>64</v>
      </c>
      <c r="P3" s="5" t="s">
        <v>32</v>
      </c>
      <c r="Q3" s="5" t="s">
        <v>36</v>
      </c>
      <c r="R3" s="5" t="s">
        <v>40</v>
      </c>
      <c r="S3" s="5" t="s">
        <v>43</v>
      </c>
      <c r="T3" s="5" t="s">
        <v>35</v>
      </c>
      <c r="U3" s="5" t="s">
        <v>44</v>
      </c>
    </row>
    <row r="4" spans="1:25">
      <c r="A4" s="4">
        <f>HYPERLINK("https://www.idealista.com/inmueble/110285566/", "Piso en venta en Calle de la Encomienda de Palacios")</f>
        <v>0</v>
      </c>
      <c r="B4" t="s">
        <v>25</v>
      </c>
      <c r="C4">
        <v>86</v>
      </c>
      <c r="D4" s="1">
        <v>300000</v>
      </c>
      <c r="E4" s="1">
        <v>2</v>
      </c>
      <c r="F4" s="2">
        <v>2</v>
      </c>
      <c r="G4" s="2" t="b">
        <v>0</v>
      </c>
      <c r="H4" s="2" t="b">
        <v>0</v>
      </c>
      <c r="I4">
        <v>1250</v>
      </c>
      <c r="J4" t="s">
        <v>29</v>
      </c>
      <c r="K4">
        <v>0.05</v>
      </c>
      <c r="L4">
        <v>0.03670454545454545</v>
      </c>
      <c r="M4">
        <v>75.5</v>
      </c>
      <c r="N4">
        <v>0.09506994103877918</v>
      </c>
      <c r="O4">
        <v>33.3</v>
      </c>
      <c r="P4" s="5" t="s">
        <v>33</v>
      </c>
      <c r="Q4" s="5" t="s">
        <v>37</v>
      </c>
      <c r="R4" s="5" t="s">
        <v>41</v>
      </c>
    </row>
    <row r="5" spans="1:25">
      <c r="A5" s="4">
        <f>HYPERLINK("https://www.idealista.com/inmueble/109657939/", "Piso en venta en Plaza de Castilla-La Mancha")</f>
        <v>0</v>
      </c>
      <c r="B5" t="s">
        <v>26</v>
      </c>
      <c r="C5">
        <v>112</v>
      </c>
      <c r="D5" s="1">
        <v>264900</v>
      </c>
      <c r="E5" s="1">
        <v>3</v>
      </c>
      <c r="F5" s="2">
        <v>2</v>
      </c>
      <c r="G5" s="2" t="b">
        <v>0</v>
      </c>
      <c r="H5" s="2" t="b">
        <v>0</v>
      </c>
      <c r="I5">
        <v>1325</v>
      </c>
      <c r="J5" t="s">
        <v>30</v>
      </c>
      <c r="K5">
        <v>0.06002265005662514</v>
      </c>
      <c r="L5">
        <v>0.04406208174611346</v>
      </c>
      <c r="M5">
        <v>95.09999999999999</v>
      </c>
      <c r="N5">
        <v>0</v>
      </c>
      <c r="O5">
        <v>21.9</v>
      </c>
      <c r="P5" s="5" t="s">
        <v>34</v>
      </c>
      <c r="Q5" s="5" t="s">
        <v>38</v>
      </c>
      <c r="R5" s="5" t="s">
        <v>42</v>
      </c>
    </row>
  </sheetData>
  <hyperlinks>
    <hyperlink ref="P2" r:id="rId1"/>
    <hyperlink ref="Q2" r:id="rId2"/>
    <hyperlink ref="R2" r:id="rId3"/>
    <hyperlink ref="S2" r:id="rId4"/>
    <hyperlink ref="T2" r:id="rId5"/>
    <hyperlink ref="U2" r:id="rId6"/>
    <hyperlink ref="V2" r:id="rId7"/>
    <hyperlink ref="W2" r:id="rId8"/>
    <hyperlink ref="X2" r:id="rId9"/>
    <hyperlink ref="P3" r:id="rId10"/>
    <hyperlink ref="Q3" r:id="rId11"/>
    <hyperlink ref="R3" r:id="rId12"/>
    <hyperlink ref="S3" r:id="rId13"/>
    <hyperlink ref="T3" r:id="rId14"/>
    <hyperlink ref="U3" r:id="rId15"/>
    <hyperlink ref="P4" r:id="rId16"/>
    <hyperlink ref="Q4" r:id="rId17"/>
    <hyperlink ref="R4" r:id="rId18"/>
    <hyperlink ref="P5" r:id="rId19"/>
    <hyperlink ref="Q5" r:id="rId20"/>
    <hyperlink ref="R5" r:id="rId2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4" max="6" width="18.7109375" style="1" customWidth="1"/>
    <col min="7" max="9" width="15.7109375" style="2" customWidth="1"/>
  </cols>
  <sheetData>
    <row r="1" spans="1:10">
      <c r="A1" s="3" t="s">
        <v>0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9</v>
      </c>
      <c r="H1" s="3" t="s">
        <v>10</v>
      </c>
      <c r="I1" s="3" t="s">
        <v>52</v>
      </c>
      <c r="J1" s="3" t="s">
        <v>53</v>
      </c>
    </row>
    <row r="2" spans="1:10">
      <c r="A2" t="s">
        <v>54</v>
      </c>
      <c r="B2">
        <v>1</v>
      </c>
      <c r="C2">
        <v>85</v>
      </c>
      <c r="D2" s="1">
        <v>3088.235294117647</v>
      </c>
      <c r="E2" s="1">
        <v>3088.235294117647</v>
      </c>
      <c r="F2" s="1">
        <v>20.68965517241379</v>
      </c>
      <c r="G2" s="2">
        <v>0.08571428571428572</v>
      </c>
      <c r="H2" s="2">
        <v>0.06292207792207792</v>
      </c>
      <c r="I2" s="2">
        <v>0</v>
      </c>
      <c r="J2">
        <v>0</v>
      </c>
    </row>
    <row r="3" spans="1:10">
      <c r="A3" t="s">
        <v>55</v>
      </c>
      <c r="B3">
        <v>1</v>
      </c>
      <c r="C3">
        <v>11</v>
      </c>
      <c r="D3" s="1">
        <v>3920</v>
      </c>
      <c r="E3" s="1">
        <v>3920</v>
      </c>
      <c r="F3" s="1">
        <v>14.91666666666667</v>
      </c>
      <c r="G3" s="2">
        <v>0.07193877551020408</v>
      </c>
      <c r="H3" s="2">
        <v>0.05280960111317253</v>
      </c>
      <c r="I3" s="2">
        <v>0</v>
      </c>
      <c r="J3">
        <v>0</v>
      </c>
    </row>
    <row r="4" spans="1:10">
      <c r="A4" t="s">
        <v>24</v>
      </c>
      <c r="B4">
        <v>8</v>
      </c>
      <c r="C4">
        <v>61</v>
      </c>
      <c r="D4" s="1">
        <v>2764.363612182471</v>
      </c>
      <c r="E4" s="1">
        <v>2496.012448939895</v>
      </c>
      <c r="F4" s="1">
        <v>18.75</v>
      </c>
      <c r="G4" s="2">
        <v>0.06321506498434684</v>
      </c>
      <c r="H4" s="2">
        <v>0.04640560452260006</v>
      </c>
      <c r="I4" s="2">
        <v>0.25</v>
      </c>
      <c r="J4">
        <v>2</v>
      </c>
    </row>
    <row r="5" spans="1:10">
      <c r="A5" t="s">
        <v>56</v>
      </c>
      <c r="B5">
        <v>1</v>
      </c>
      <c r="C5">
        <v>4</v>
      </c>
      <c r="D5" s="1">
        <v>3357.142857142857</v>
      </c>
      <c r="E5" s="1">
        <v>3357.142857142857</v>
      </c>
      <c r="F5" s="1">
        <v>14.95192307692308</v>
      </c>
      <c r="G5" s="2">
        <v>0.0625531914893617</v>
      </c>
      <c r="H5" s="2">
        <v>0.04591972920696324</v>
      </c>
      <c r="I5" s="2">
        <v>0</v>
      </c>
      <c r="J5">
        <v>0</v>
      </c>
    </row>
    <row r="6" spans="1:10">
      <c r="A6" t="s">
        <v>26</v>
      </c>
      <c r="B6">
        <v>1</v>
      </c>
      <c r="C6">
        <v>3</v>
      </c>
      <c r="D6" s="1">
        <v>2365.178571428572</v>
      </c>
      <c r="E6" s="1">
        <v>2365.178571428572</v>
      </c>
      <c r="F6" s="1">
        <v>11.5</v>
      </c>
      <c r="G6" s="2">
        <v>0.06002265005662514</v>
      </c>
      <c r="H6" s="2">
        <v>0.04406208174611346</v>
      </c>
      <c r="I6" s="2">
        <v>1</v>
      </c>
      <c r="J6">
        <v>1</v>
      </c>
    </row>
    <row r="7" spans="1:10">
      <c r="A7" t="s">
        <v>57</v>
      </c>
      <c r="B7">
        <v>1</v>
      </c>
      <c r="C7">
        <v>5</v>
      </c>
      <c r="D7" s="1">
        <v>3578.125</v>
      </c>
      <c r="E7" s="1">
        <v>3578.125</v>
      </c>
      <c r="F7" s="1">
        <v>12.8</v>
      </c>
      <c r="G7" s="2">
        <v>0.05764192139737991</v>
      </c>
      <c r="H7" s="2">
        <v>0.04231441048034934</v>
      </c>
      <c r="I7" s="2">
        <v>0</v>
      </c>
      <c r="J7">
        <v>0</v>
      </c>
    </row>
    <row r="8" spans="1:10">
      <c r="A8" t="s">
        <v>25</v>
      </c>
      <c r="B8">
        <v>2</v>
      </c>
      <c r="C8">
        <v>4</v>
      </c>
      <c r="D8" s="1">
        <v>3854.852713178294</v>
      </c>
      <c r="E8" s="1">
        <v>3671.612403100775</v>
      </c>
      <c r="F8" s="1">
        <v>13.9</v>
      </c>
      <c r="G8" s="2">
        <v>0.0496367656348705</v>
      </c>
      <c r="H8" s="2">
        <v>0.03643789840923448</v>
      </c>
      <c r="I8" s="2">
        <v>0.5</v>
      </c>
      <c r="J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3" t="s">
        <v>58</v>
      </c>
      <c r="B1" s="3" t="s">
        <v>59</v>
      </c>
      <c r="C1" s="3" t="s">
        <v>60</v>
      </c>
    </row>
    <row r="2" spans="1:3">
      <c r="A2" t="s">
        <v>61</v>
      </c>
      <c r="B2" t="s">
        <v>70</v>
      </c>
      <c r="C2" t="s">
        <v>74</v>
      </c>
    </row>
    <row r="3" spans="1:3">
      <c r="A3" t="s">
        <v>62</v>
      </c>
      <c r="B3" t="s">
        <v>71</v>
      </c>
      <c r="C3" t="s">
        <v>75</v>
      </c>
    </row>
    <row r="4" spans="1:3">
      <c r="A4" t="s">
        <v>63</v>
      </c>
      <c r="B4" t="s">
        <v>72</v>
      </c>
      <c r="C4" t="s">
        <v>76</v>
      </c>
    </row>
    <row r="5" spans="1:3">
      <c r="A5" t="s">
        <v>64</v>
      </c>
      <c r="B5" t="s">
        <v>73</v>
      </c>
      <c r="C5" t="s">
        <v>77</v>
      </c>
    </row>
    <row r="6" spans="1:3">
      <c r="A6" t="s">
        <v>65</v>
      </c>
      <c r="B6">
        <v>0.4</v>
      </c>
      <c r="C6" t="s">
        <v>78</v>
      </c>
    </row>
    <row r="7" spans="1:3">
      <c r="A7" t="s">
        <v>66</v>
      </c>
      <c r="B7">
        <v>0.3</v>
      </c>
      <c r="C7" t="s">
        <v>79</v>
      </c>
    </row>
    <row r="8" spans="1:3">
      <c r="A8" t="s">
        <v>67</v>
      </c>
      <c r="B8">
        <v>0.1</v>
      </c>
      <c r="C8" t="s">
        <v>80</v>
      </c>
    </row>
    <row r="9" spans="1:3">
      <c r="A9" t="s">
        <v>68</v>
      </c>
      <c r="B9">
        <v>0.1</v>
      </c>
      <c r="C9" t="s">
        <v>81</v>
      </c>
    </row>
    <row r="10" spans="1:3">
      <c r="A10" t="s">
        <v>69</v>
      </c>
      <c r="B10">
        <v>0.1</v>
      </c>
      <c r="C10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3" t="s">
        <v>83</v>
      </c>
      <c r="B1" s="3" t="s">
        <v>84</v>
      </c>
      <c r="C1" s="3" t="s">
        <v>85</v>
      </c>
      <c r="D1" s="3" t="s">
        <v>86</v>
      </c>
    </row>
    <row r="2" spans="1:4">
      <c r="A2" t="s">
        <v>87</v>
      </c>
      <c r="B2" t="s">
        <v>89</v>
      </c>
      <c r="C2">
        <v>1870</v>
      </c>
      <c r="D2" t="s">
        <v>91</v>
      </c>
    </row>
    <row r="3" spans="1:4">
      <c r="A3" t="s">
        <v>87</v>
      </c>
      <c r="B3" t="s">
        <v>90</v>
      </c>
      <c r="C3">
        <v>625</v>
      </c>
      <c r="D3" t="s">
        <v>91</v>
      </c>
    </row>
    <row r="4" spans="1:4">
      <c r="A4" t="s">
        <v>88</v>
      </c>
      <c r="B4" t="s">
        <v>89</v>
      </c>
      <c r="C4">
        <v>15</v>
      </c>
      <c r="D4" t="s">
        <v>92</v>
      </c>
    </row>
    <row r="5" spans="1:4">
      <c r="A5" t="s">
        <v>88</v>
      </c>
      <c r="B5" t="s">
        <v>89</v>
      </c>
      <c r="C5">
        <v>13</v>
      </c>
      <c r="D5" t="s">
        <v>93</v>
      </c>
    </row>
    <row r="6" spans="1:4">
      <c r="A6" t="s">
        <v>88</v>
      </c>
      <c r="B6" t="s">
        <v>89</v>
      </c>
      <c r="C6">
        <v>0</v>
      </c>
      <c r="D6" t="s">
        <v>94</v>
      </c>
    </row>
    <row r="7" spans="1:4">
      <c r="A7" t="s">
        <v>88</v>
      </c>
      <c r="B7" t="s">
        <v>89</v>
      </c>
      <c r="C7">
        <v>1710</v>
      </c>
      <c r="D7" t="s">
        <v>95</v>
      </c>
    </row>
    <row r="8" spans="1:4">
      <c r="A8" t="s">
        <v>88</v>
      </c>
      <c r="B8" t="s">
        <v>89</v>
      </c>
      <c r="C8">
        <v>0</v>
      </c>
      <c r="D8" t="s">
        <v>96</v>
      </c>
    </row>
    <row r="9" spans="1:4">
      <c r="A9" t="s">
        <v>88</v>
      </c>
      <c r="B9" t="s">
        <v>90</v>
      </c>
      <c r="C9">
        <v>452</v>
      </c>
      <c r="D9" t="s">
        <v>96</v>
      </c>
    </row>
    <row r="10" spans="1:4">
      <c r="A10" t="s">
        <v>88</v>
      </c>
      <c r="B10" t="s">
        <v>89</v>
      </c>
      <c r="C10">
        <v>15</v>
      </c>
      <c r="D10" t="s">
        <v>97</v>
      </c>
    </row>
    <row r="11" spans="1:4">
      <c r="A11" t="s">
        <v>88</v>
      </c>
      <c r="B11" t="s">
        <v>90</v>
      </c>
      <c r="C11">
        <v>173</v>
      </c>
      <c r="D1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oportunidades</vt:lpstr>
      <vt:lpstr>distritos_resumen</vt:lpstr>
      <vt:lpstr>parametros</vt:lpstr>
      <vt:lpstr>log_calidad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2026-01-15T13:24:07Z</dcterms:created>
  <dcterms:modified xsi:type="dcterms:W3CDTF">2026-01-15T13:24:07Z</dcterms:modified>
</cp:coreProperties>
</file>