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ortunidades" sheetId="1" r:id="rId1"/>
    <sheet name="distritos_resumen" sheetId="2" r:id="rId2"/>
    <sheet name="parametros" sheetId="3" r:id="rId3"/>
    <sheet name="log_calidad" sheetId="4" r:id="rId4"/>
  </sheets>
  <calcPr calcId="124519" fullCalcOnLoad="1"/>
</workbook>
</file>

<file path=xl/sharedStrings.xml><?xml version="1.0" encoding="utf-8"?>
<sst xmlns="http://schemas.openxmlformats.org/spreadsheetml/2006/main" count="132" uniqueCount="103">
  <si>
    <t>Distrito</t>
  </si>
  <si>
    <t>m2</t>
  </si>
  <si>
    <t>Precio</t>
  </si>
  <si>
    <t>habs</t>
  </si>
  <si>
    <t>banos</t>
  </si>
  <si>
    <t>garaje</t>
  </si>
  <si>
    <t>terraza</t>
  </si>
  <si>
    <t>Renta_estimada/mes</t>
  </si>
  <si>
    <t>Renta_Rango</t>
  </si>
  <si>
    <t>Rentabilidad_Bruta_%</t>
  </si>
  <si>
    <t>Rentabilidad_Neta_%</t>
  </si>
  <si>
    <t>Precision</t>
  </si>
  <si>
    <t>Descuento_%</t>
  </si>
  <si>
    <t>Puntuación</t>
  </si>
  <si>
    <t>Referencia 1</t>
  </si>
  <si>
    <t>Referencia 2</t>
  </si>
  <si>
    <t>Referencia 3</t>
  </si>
  <si>
    <t>Referencia 4</t>
  </si>
  <si>
    <t>Referencia 5</t>
  </si>
  <si>
    <t>Referencia 6</t>
  </si>
  <si>
    <t>Referencia 7</t>
  </si>
  <si>
    <t>Referencia 8</t>
  </si>
  <si>
    <t>Referencia 9</t>
  </si>
  <si>
    <t>Referencia 10</t>
  </si>
  <si>
    <t>Distrito Sector Plaza de Toros</t>
  </si>
  <si>
    <t>Distrito Plaza Mayor - San Agustín</t>
  </si>
  <si>
    <t>Distrito Centro</t>
  </si>
  <si>
    <t>Distrito El Cerro - Crtra. San Rafael</t>
  </si>
  <si>
    <t>Espirdo</t>
  </si>
  <si>
    <t>Distrito Ezequiel González - Cde. Sepulveda</t>
  </si>
  <si>
    <t>740€ - 1100€</t>
  </si>
  <si>
    <t>2136€ - 3204€</t>
  </si>
  <si>
    <t>1440€ - 1600€</t>
  </si>
  <si>
    <t>1920€ - 2880€</t>
  </si>
  <si>
    <t>970€ - 1310€</t>
  </si>
  <si>
    <t>670€ - 750€</t>
  </si>
  <si>
    <t>930€ - 1230€</t>
  </si>
  <si>
    <t>https://www.idealista.com/inmueble/110115035/</t>
  </si>
  <si>
    <t>https://www.idealista.com/inmueble/97726474/</t>
  </si>
  <si>
    <t>https://www.idealista.com/inmueble/109073442/</t>
  </si>
  <si>
    <t>https://www.idealista.com/inmueble/109980256/</t>
  </si>
  <si>
    <t>https://www.idealista.com/inmueble/109595371/</t>
  </si>
  <si>
    <t>https://www.idealista.com/inmueble/108871260/</t>
  </si>
  <si>
    <t>https://www.idealista.com/inmueble/40429740/</t>
  </si>
  <si>
    <t>https://www.idealista.com/inmueble/110294501/</t>
  </si>
  <si>
    <t>https://www.idealista.com/inmueble/110209927/</t>
  </si>
  <si>
    <t>https://www.idealista.com/inmueble/104388263/</t>
  </si>
  <si>
    <t>https://www.idealista.com/inmueble/104484131/</t>
  </si>
  <si>
    <t>https://www.idealista.com/inmueble/105090511/</t>
  </si>
  <si>
    <t>https://www.idealista.com/inmueble/109402981/</t>
  </si>
  <si>
    <t>https://www.idealista.com/inmueble/91841050/</t>
  </si>
  <si>
    <t>https://www.idealista.com/inmueble/109763908/</t>
  </si>
  <si>
    <t>https://www.idealista.com/inmueble/109884823/</t>
  </si>
  <si>
    <t>Propiedad</t>
  </si>
  <si>
    <t>prop_venta</t>
  </si>
  <si>
    <t>prop_alq</t>
  </si>
  <si>
    <t>Mediana_Venta_m2</t>
  </si>
  <si>
    <t>P25_Venta_m2</t>
  </si>
  <si>
    <t>Mediana_Alquiler_m2</t>
  </si>
  <si>
    <t>Pct_Bajo_Mercado</t>
  </si>
  <si>
    <t>Num oportunidades</t>
  </si>
  <si>
    <t>Distrito José Zorrilla - Padre Claret</t>
  </si>
  <si>
    <t>Palazuelos de Eresma</t>
  </si>
  <si>
    <t>Parametro</t>
  </si>
  <si>
    <t>Valor</t>
  </si>
  <si>
    <t>Descripcion</t>
  </si>
  <si>
    <t>gastos_recurrentes</t>
  </si>
  <si>
    <t>vacancia</t>
  </si>
  <si>
    <t>costes_compra</t>
  </si>
  <si>
    <t>umbral_residual_ml</t>
  </si>
  <si>
    <t>w1_descuento</t>
  </si>
  <si>
    <t>w2_yield</t>
  </si>
  <si>
    <t>w3_rebajado</t>
  </si>
  <si>
    <t>w4_zscore</t>
  </si>
  <si>
    <t>w5_comps</t>
  </si>
  <si>
    <t>15%</t>
  </si>
  <si>
    <t>5%</t>
  </si>
  <si>
    <t>10%</t>
  </si>
  <si>
    <t>-10%</t>
  </si>
  <si>
    <t>Gastos sobre renta (comunidad, IBI, seguros)</t>
  </si>
  <si>
    <t>Vacancia estimada anual</t>
  </si>
  <si>
    <t>Costes de compra (impuestos, notaria)</t>
  </si>
  <si>
    <t>Umbral para modelo ML</t>
  </si>
  <si>
    <t>Peso: descuento vs mercado</t>
  </si>
  <si>
    <t>Peso: yield bruta</t>
  </si>
  <si>
    <t>Peso: ya rebajado</t>
  </si>
  <si>
    <t>Peso: z-score</t>
  </si>
  <si>
    <t>Peso: comparables</t>
  </si>
  <si>
    <t>phase</t>
  </si>
  <si>
    <t>dataset</t>
  </si>
  <si>
    <t>rows</t>
  </si>
  <si>
    <t>note</t>
  </si>
  <si>
    <t>load</t>
  </si>
  <si>
    <t>clean</t>
  </si>
  <si>
    <t>VENTA</t>
  </si>
  <si>
    <t>ALQUILER</t>
  </si>
  <si>
    <t>initial</t>
  </si>
  <si>
    <t>excluded nuda propiedad (bool + text)</t>
  </si>
  <si>
    <t>excluded okupado (bool + text)</t>
  </si>
  <si>
    <t>excluded copropiedad (bool + text)</t>
  </si>
  <si>
    <t>interactive filters (basic)</t>
  </si>
  <si>
    <t>excluded non-common distrito</t>
  </si>
  <si>
    <t>final</t>
  </si>
</sst>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alista.com/inmueble/110115035/" TargetMode="External"/><Relationship Id="rId2" Type="http://schemas.openxmlformats.org/officeDocument/2006/relationships/hyperlink" Target="https://www.idealista.com/inmueble/108871260/" TargetMode="External"/><Relationship Id="rId3" Type="http://schemas.openxmlformats.org/officeDocument/2006/relationships/hyperlink" Target="https://www.idealista.com/inmueble/104388263/" TargetMode="External"/><Relationship Id="rId4" Type="http://schemas.openxmlformats.org/officeDocument/2006/relationships/hyperlink" Target="https://www.idealista.com/inmueble/109402981/" TargetMode="External"/><Relationship Id="rId5" Type="http://schemas.openxmlformats.org/officeDocument/2006/relationships/hyperlink" Target="https://www.idealista.com/inmueble/97726474/" TargetMode="External"/><Relationship Id="rId6" Type="http://schemas.openxmlformats.org/officeDocument/2006/relationships/hyperlink" Target="https://www.idealista.com/inmueble/40429740/" TargetMode="External"/><Relationship Id="rId7" Type="http://schemas.openxmlformats.org/officeDocument/2006/relationships/hyperlink" Target="https://www.idealista.com/inmueble/104484131/" TargetMode="External"/><Relationship Id="rId8" Type="http://schemas.openxmlformats.org/officeDocument/2006/relationships/hyperlink" Target="https://www.idealista.com/inmueble/109073442/" TargetMode="External"/><Relationship Id="rId9" Type="http://schemas.openxmlformats.org/officeDocument/2006/relationships/hyperlink" Target="https://www.idealista.com/inmueble/109980256/" TargetMode="External"/><Relationship Id="rId10" Type="http://schemas.openxmlformats.org/officeDocument/2006/relationships/hyperlink" Target="https://www.idealista.com/inmueble/110294501/" TargetMode="External"/><Relationship Id="rId11" Type="http://schemas.openxmlformats.org/officeDocument/2006/relationships/hyperlink" Target="https://www.idealista.com/inmueble/109595371/" TargetMode="External"/><Relationship Id="rId12" Type="http://schemas.openxmlformats.org/officeDocument/2006/relationships/hyperlink" Target="https://www.idealista.com/inmueble/110209927/" TargetMode="External"/><Relationship Id="rId13" Type="http://schemas.openxmlformats.org/officeDocument/2006/relationships/hyperlink" Target="https://www.idealista.com/inmueble/105090511/" TargetMode="External"/><Relationship Id="rId14" Type="http://schemas.openxmlformats.org/officeDocument/2006/relationships/hyperlink" Target="https://www.idealista.com/inmueble/91841050/" TargetMode="External"/><Relationship Id="rId15" Type="http://schemas.openxmlformats.org/officeDocument/2006/relationships/hyperlink" Target="https://www.idealista.com/inmueble/109763908/" TargetMode="External"/><Relationship Id="rId16" Type="http://schemas.openxmlformats.org/officeDocument/2006/relationships/hyperlink" Target="https://www.idealista.com/inmueble/1098848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tabSelected="1" workbookViewId="0"/>
  </sheetViews>
  <sheetFormatPr defaultRowHeight="15"/>
  <cols>
    <col min="1" max="1" width="50.7109375" customWidth="1"/>
    <col min="2" max="2" width="20.7109375" customWidth="1"/>
    <col min="4" max="5" width="15.7109375" style="1" customWidth="1"/>
    <col min="6" max="8" width="12.7109375" style="2" customWidth="1"/>
    <col min="9" max="9" width="10.7109375" customWidth="1"/>
  </cols>
  <sheetData>
    <row r="1" spans="1:25">
      <c r="A1" t="s">
        <v>53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>
      <c r="A2" s="4">
        <f>HYPERLINK("https://www.idealista.com/inmueble/109972458/", "Piso en venta en Sector Plaza de Toros")</f>
        <v>0</v>
      </c>
      <c r="B2" t="s">
        <v>24</v>
      </c>
      <c r="C2">
        <v>72</v>
      </c>
      <c r="D2" s="1">
        <v>134000</v>
      </c>
      <c r="E2" s="1">
        <v>3</v>
      </c>
      <c r="F2" s="2">
        <v>1</v>
      </c>
      <c r="G2" s="2" t="b">
        <v>0</v>
      </c>
      <c r="H2" s="2" t="b">
        <v>0</v>
      </c>
      <c r="I2">
        <v>920</v>
      </c>
      <c r="J2" t="s">
        <v>30</v>
      </c>
      <c r="K2">
        <v>0.08238805970149254</v>
      </c>
      <c r="L2">
        <v>0.06048032564450474</v>
      </c>
      <c r="M2">
        <v>64</v>
      </c>
      <c r="N2">
        <v>0.2038944278094027</v>
      </c>
      <c r="O2">
        <v>78</v>
      </c>
      <c r="P2" s="5" t="s">
        <v>37</v>
      </c>
      <c r="Q2" s="5" t="s">
        <v>42</v>
      </c>
      <c r="R2" s="5" t="s">
        <v>46</v>
      </c>
      <c r="S2" s="5" t="s">
        <v>49</v>
      </c>
    </row>
    <row r="3" spans="1:25">
      <c r="A3" s="4">
        <f>HYPERLINK("https://www.idealista.com/inmueble/101933661/", "Dúplex en venta en Plaza Mayor - San Agustín")</f>
        <v>0</v>
      </c>
      <c r="B3" t="s">
        <v>25</v>
      </c>
      <c r="C3">
        <v>167</v>
      </c>
      <c r="D3" s="1">
        <v>375000</v>
      </c>
      <c r="E3" s="1">
        <v>3</v>
      </c>
      <c r="F3" s="2">
        <v>3</v>
      </c>
      <c r="G3" s="2" t="b">
        <v>0</v>
      </c>
      <c r="H3" s="2" t="b">
        <v>0</v>
      </c>
      <c r="I3">
        <v>2670</v>
      </c>
      <c r="J3" t="s">
        <v>31</v>
      </c>
      <c r="K3">
        <v>0.08544</v>
      </c>
      <c r="L3">
        <v>0.06272072727272726</v>
      </c>
      <c r="M3">
        <v>15</v>
      </c>
      <c r="N3">
        <v>0.08603844941695549</v>
      </c>
      <c r="O3">
        <v>65</v>
      </c>
    </row>
    <row r="4" spans="1:25">
      <c r="A4" s="4">
        <f>HYPERLINK("https://www.idealista.com/inmueble/106632994/", "Piso en venta en Centro")</f>
        <v>0</v>
      </c>
      <c r="B4" t="s">
        <v>26</v>
      </c>
      <c r="C4">
        <v>170</v>
      </c>
      <c r="D4" s="1">
        <v>319995</v>
      </c>
      <c r="E4" s="1">
        <v>5</v>
      </c>
      <c r="F4" s="2">
        <v>3</v>
      </c>
      <c r="G4" s="2" t="b">
        <v>0</v>
      </c>
      <c r="H4" s="2" t="b">
        <v>0</v>
      </c>
      <c r="I4">
        <v>1520</v>
      </c>
      <c r="J4" t="s">
        <v>32</v>
      </c>
      <c r="K4">
        <v>0.05700089063891623</v>
      </c>
      <c r="L4">
        <v>0.04184383562811351</v>
      </c>
      <c r="M4">
        <v>89.8</v>
      </c>
      <c r="N4">
        <v>0.1529544117647059</v>
      </c>
      <c r="O4">
        <v>55.2</v>
      </c>
      <c r="P4" s="5" t="s">
        <v>38</v>
      </c>
      <c r="Q4" s="5" t="s">
        <v>43</v>
      </c>
      <c r="R4" s="5" t="s">
        <v>47</v>
      </c>
    </row>
    <row r="5" spans="1:25">
      <c r="A5" s="4">
        <f>HYPERLINK("https://www.idealista.com/inmueble/110211134/", "Piso en venta en Plaza Mayor - San Agustín")</f>
        <v>0</v>
      </c>
      <c r="B5" t="s">
        <v>25</v>
      </c>
      <c r="C5">
        <v>150</v>
      </c>
      <c r="D5" s="1">
        <v>360000</v>
      </c>
      <c r="E5" s="1">
        <v>3</v>
      </c>
      <c r="F5" s="2">
        <v>3</v>
      </c>
      <c r="G5" s="2" t="b">
        <v>0</v>
      </c>
      <c r="H5" s="2" t="b">
        <v>0</v>
      </c>
      <c r="I5">
        <v>2400</v>
      </c>
      <c r="J5" t="s">
        <v>33</v>
      </c>
      <c r="K5">
        <v>0.08</v>
      </c>
      <c r="L5">
        <v>0.05872727272727272</v>
      </c>
      <c r="M5">
        <v>15</v>
      </c>
      <c r="N5">
        <v>0.02315789473684204</v>
      </c>
      <c r="O5">
        <v>48.2</v>
      </c>
    </row>
    <row r="6" spans="1:25">
      <c r="A6" s="4">
        <f>HYPERLINK("https://www.idealista.com/inmueble/110155154/", "Piso en venta en El Cerro - Crtra. San Rafael")</f>
        <v>0</v>
      </c>
      <c r="B6" t="s">
        <v>27</v>
      </c>
      <c r="C6">
        <v>99</v>
      </c>
      <c r="D6" s="1">
        <v>160000</v>
      </c>
      <c r="E6" s="1">
        <v>3</v>
      </c>
      <c r="F6" s="2">
        <v>1</v>
      </c>
      <c r="G6" s="2" t="b">
        <v>0</v>
      </c>
      <c r="H6" s="2" t="b">
        <v>0</v>
      </c>
      <c r="I6">
        <v>1140</v>
      </c>
      <c r="J6" t="s">
        <v>34</v>
      </c>
      <c r="K6">
        <v>0.08550000000000001</v>
      </c>
      <c r="L6">
        <v>0.06276477272727272</v>
      </c>
      <c r="M6">
        <v>63.9</v>
      </c>
      <c r="N6">
        <v>0.03531438415159349</v>
      </c>
      <c r="O6">
        <v>45.3</v>
      </c>
      <c r="P6" s="5" t="s">
        <v>39</v>
      </c>
    </row>
    <row r="7" spans="1:25">
      <c r="A7" s="4">
        <f>HYPERLINK("https://www.idealista.com/inmueble/1777418/", "Piso en venta en Calle Pozo, 19")</f>
        <v>0</v>
      </c>
      <c r="B7" t="s">
        <v>28</v>
      </c>
      <c r="C7">
        <v>80</v>
      </c>
      <c r="D7" s="1">
        <v>99000</v>
      </c>
      <c r="E7" s="1">
        <v>2</v>
      </c>
      <c r="F7" s="2">
        <v>1</v>
      </c>
      <c r="G7" s="2" t="b">
        <v>0</v>
      </c>
      <c r="H7" s="2" t="b">
        <v>0</v>
      </c>
      <c r="I7">
        <v>710</v>
      </c>
      <c r="J7" t="s">
        <v>35</v>
      </c>
      <c r="K7">
        <v>0.08606060606060606</v>
      </c>
      <c r="L7">
        <v>0.06317630853994489</v>
      </c>
      <c r="M7">
        <v>86.5</v>
      </c>
      <c r="N7">
        <v>0</v>
      </c>
      <c r="O7">
        <v>36</v>
      </c>
      <c r="P7" s="5" t="s">
        <v>40</v>
      </c>
      <c r="Q7" s="5" t="s">
        <v>44</v>
      </c>
    </row>
    <row r="8" spans="1:25">
      <c r="A8" s="4">
        <f>HYPERLINK("https://www.idealista.com/inmueble/110146814/", "Piso en venta en Ezequiel González - Cde. Sepulveda")</f>
        <v>0</v>
      </c>
      <c r="B8" t="s">
        <v>29</v>
      </c>
      <c r="C8">
        <v>78</v>
      </c>
      <c r="D8" s="1">
        <v>178900</v>
      </c>
      <c r="E8" s="1">
        <v>2</v>
      </c>
      <c r="F8" s="2">
        <v>1</v>
      </c>
      <c r="G8" s="2" t="b">
        <v>0</v>
      </c>
      <c r="H8" s="2" t="b">
        <v>0</v>
      </c>
      <c r="I8">
        <v>1080</v>
      </c>
      <c r="J8" t="s">
        <v>36</v>
      </c>
      <c r="K8">
        <v>0.07244270542202348</v>
      </c>
      <c r="L8">
        <v>0.05317953148025813</v>
      </c>
      <c r="M8">
        <v>70.90000000000001</v>
      </c>
      <c r="N8">
        <v>0.01214798453892885</v>
      </c>
      <c r="O8">
        <v>32.4</v>
      </c>
      <c r="P8" s="5" t="s">
        <v>41</v>
      </c>
      <c r="Q8" s="5" t="s">
        <v>45</v>
      </c>
      <c r="R8" s="5" t="s">
        <v>48</v>
      </c>
      <c r="S8" s="5" t="s">
        <v>50</v>
      </c>
      <c r="T8" s="5" t="s">
        <v>51</v>
      </c>
      <c r="U8" s="5" t="s">
        <v>52</v>
      </c>
    </row>
  </sheetData>
  <hyperlinks>
    <hyperlink ref="P2" r:id="rId1"/>
    <hyperlink ref="Q2" r:id="rId2"/>
    <hyperlink ref="R2" r:id="rId3"/>
    <hyperlink ref="S2" r:id="rId4"/>
    <hyperlink ref="P4" r:id="rId5"/>
    <hyperlink ref="Q4" r:id="rId6"/>
    <hyperlink ref="R4" r:id="rId7"/>
    <hyperlink ref="P6" r:id="rId8"/>
    <hyperlink ref="P7" r:id="rId9"/>
    <hyperlink ref="Q7" r:id="rId10"/>
    <hyperlink ref="P8" r:id="rId11"/>
    <hyperlink ref="Q8" r:id="rId12"/>
    <hyperlink ref="R8" r:id="rId13"/>
    <hyperlink ref="S8" r:id="rId14"/>
    <hyperlink ref="T8" r:id="rId15"/>
    <hyperlink ref="U8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4" max="6" width="18.7109375" style="1" customWidth="1"/>
    <col min="7" max="9" width="15.7109375" style="2" customWidth="1"/>
  </cols>
  <sheetData>
    <row r="1" spans="1:10">
      <c r="A1" s="3" t="s">
        <v>0</v>
      </c>
      <c r="B1" s="3" t="s">
        <v>54</v>
      </c>
      <c r="C1" s="3" t="s">
        <v>55</v>
      </c>
      <c r="D1" s="3" t="s">
        <v>56</v>
      </c>
      <c r="E1" s="3" t="s">
        <v>57</v>
      </c>
      <c r="F1" s="3" t="s">
        <v>58</v>
      </c>
      <c r="G1" s="3" t="s">
        <v>9</v>
      </c>
      <c r="H1" s="3" t="s">
        <v>10</v>
      </c>
      <c r="I1" s="3" t="s">
        <v>59</v>
      </c>
      <c r="J1" s="3" t="s">
        <v>60</v>
      </c>
    </row>
    <row r="2" spans="1:10">
      <c r="A2" t="s">
        <v>28</v>
      </c>
      <c r="B2">
        <v>1</v>
      </c>
      <c r="C2">
        <v>2</v>
      </c>
      <c r="D2" s="1">
        <v>1237.5</v>
      </c>
      <c r="E2" s="1">
        <v>1237.5</v>
      </c>
      <c r="F2" s="1">
        <v>8.878787878787879</v>
      </c>
      <c r="G2" s="2">
        <v>0.08606060606060606</v>
      </c>
      <c r="H2" s="2">
        <v>0.06317630853994489</v>
      </c>
      <c r="I2" s="2">
        <v>1</v>
      </c>
      <c r="J2">
        <v>1</v>
      </c>
    </row>
    <row r="3" spans="1:10">
      <c r="A3" t="s">
        <v>61</v>
      </c>
      <c r="B3">
        <v>1</v>
      </c>
      <c r="C3">
        <v>16</v>
      </c>
      <c r="D3" s="1">
        <v>1992.857142857143</v>
      </c>
      <c r="E3" s="1">
        <v>1992.857142857143</v>
      </c>
      <c r="F3" s="1">
        <v>11.5728021978022</v>
      </c>
      <c r="G3" s="2">
        <v>0.08344086021505376</v>
      </c>
      <c r="H3" s="2">
        <v>0.06125317693059628</v>
      </c>
      <c r="I3" s="2">
        <v>0</v>
      </c>
      <c r="J3">
        <v>0</v>
      </c>
    </row>
    <row r="4" spans="1:10">
      <c r="A4" t="s">
        <v>27</v>
      </c>
      <c r="B4">
        <v>3</v>
      </c>
      <c r="C4">
        <v>3</v>
      </c>
      <c r="D4" s="1">
        <v>1675.324675324675</v>
      </c>
      <c r="E4" s="1">
        <v>1645.743145743146</v>
      </c>
      <c r="F4" s="1">
        <v>6.428571428571429</v>
      </c>
      <c r="G4" s="2">
        <v>0.0827906976744186</v>
      </c>
      <c r="H4" s="2">
        <v>0.06077589852008457</v>
      </c>
      <c r="I4" s="2">
        <v>0.3333333333333333</v>
      </c>
      <c r="J4">
        <v>1</v>
      </c>
    </row>
    <row r="5" spans="1:10">
      <c r="A5" t="s">
        <v>25</v>
      </c>
      <c r="B5">
        <v>6</v>
      </c>
      <c r="C5">
        <v>122</v>
      </c>
      <c r="D5" s="1">
        <v>2456.896551724138</v>
      </c>
      <c r="E5" s="1">
        <v>2403.448275862069</v>
      </c>
      <c r="F5" s="1">
        <v>15.98611111111111</v>
      </c>
      <c r="G5" s="2">
        <v>0.07817142857142856</v>
      </c>
      <c r="H5" s="2">
        <v>0.05738493506493506</v>
      </c>
      <c r="I5" s="2">
        <v>0.3333333333333333</v>
      </c>
      <c r="J5">
        <v>2</v>
      </c>
    </row>
    <row r="6" spans="1:10">
      <c r="A6" t="s">
        <v>29</v>
      </c>
      <c r="B6">
        <v>2</v>
      </c>
      <c r="C6">
        <v>13</v>
      </c>
      <c r="D6" s="1">
        <v>2321.794871794872</v>
      </c>
      <c r="E6" s="1">
        <v>2307.692307692308</v>
      </c>
      <c r="F6" s="1">
        <v>10.76923076923077</v>
      </c>
      <c r="G6" s="2">
        <v>0.07494475696633089</v>
      </c>
      <c r="H6" s="2">
        <v>0.05501626477301107</v>
      </c>
      <c r="I6" s="2">
        <v>0.5</v>
      </c>
      <c r="J6">
        <v>1</v>
      </c>
    </row>
    <row r="7" spans="1:10">
      <c r="A7" t="s">
        <v>24</v>
      </c>
      <c r="B7">
        <v>5</v>
      </c>
      <c r="C7">
        <v>8</v>
      </c>
      <c r="D7" s="1">
        <v>2337.769230769231</v>
      </c>
      <c r="E7" s="1">
        <v>2083.333333333333</v>
      </c>
      <c r="F7" s="1">
        <v>11.90476190476191</v>
      </c>
      <c r="G7" s="2">
        <v>0.07199999999999999</v>
      </c>
      <c r="H7" s="2">
        <v>0.05285454545454545</v>
      </c>
      <c r="I7" s="2">
        <v>0.2</v>
      </c>
      <c r="J7">
        <v>1</v>
      </c>
    </row>
    <row r="8" spans="1:10">
      <c r="A8" t="s">
        <v>26</v>
      </c>
      <c r="B8">
        <v>5</v>
      </c>
      <c r="C8">
        <v>70</v>
      </c>
      <c r="D8" s="1">
        <v>2222.222222222222</v>
      </c>
      <c r="E8" s="1">
        <v>2166.666666666667</v>
      </c>
      <c r="F8" s="1">
        <v>13.43910698607801</v>
      </c>
      <c r="G8" s="2">
        <v>0.06923076923076923</v>
      </c>
      <c r="H8" s="2">
        <v>0.05082167832167832</v>
      </c>
      <c r="I8" s="2">
        <v>0.2</v>
      </c>
      <c r="J8">
        <v>1</v>
      </c>
    </row>
    <row r="9" spans="1:10">
      <c r="A9" t="s">
        <v>62</v>
      </c>
      <c r="B9">
        <v>1</v>
      </c>
      <c r="C9">
        <v>4</v>
      </c>
      <c r="D9" s="1">
        <v>2416.666666666667</v>
      </c>
      <c r="E9" s="1">
        <v>2416.666666666667</v>
      </c>
      <c r="F9" s="1">
        <v>8.264669163545568</v>
      </c>
      <c r="G9" s="2">
        <v>0.04137931034482759</v>
      </c>
      <c r="H9" s="2">
        <v>0.03037617554858934</v>
      </c>
      <c r="I9" s="2">
        <v>0</v>
      </c>
      <c r="J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3" t="s">
        <v>63</v>
      </c>
      <c r="B1" s="3" t="s">
        <v>64</v>
      </c>
      <c r="C1" s="3" t="s">
        <v>65</v>
      </c>
    </row>
    <row r="2" spans="1:3">
      <c r="A2" t="s">
        <v>66</v>
      </c>
      <c r="B2" t="s">
        <v>75</v>
      </c>
      <c r="C2" t="s">
        <v>79</v>
      </c>
    </row>
    <row r="3" spans="1:3">
      <c r="A3" t="s">
        <v>67</v>
      </c>
      <c r="B3" t="s">
        <v>76</v>
      </c>
      <c r="C3" t="s">
        <v>80</v>
      </c>
    </row>
    <row r="4" spans="1:3">
      <c r="A4" t="s">
        <v>68</v>
      </c>
      <c r="B4" t="s">
        <v>77</v>
      </c>
      <c r="C4" t="s">
        <v>81</v>
      </c>
    </row>
    <row r="5" spans="1:3">
      <c r="A5" t="s">
        <v>69</v>
      </c>
      <c r="B5" t="s">
        <v>78</v>
      </c>
      <c r="C5" t="s">
        <v>82</v>
      </c>
    </row>
    <row r="6" spans="1:3">
      <c r="A6" t="s">
        <v>70</v>
      </c>
      <c r="B6">
        <v>0.4</v>
      </c>
      <c r="C6" t="s">
        <v>83</v>
      </c>
    </row>
    <row r="7" spans="1:3">
      <c r="A7" t="s">
        <v>71</v>
      </c>
      <c r="B7">
        <v>0.3</v>
      </c>
      <c r="C7" t="s">
        <v>84</v>
      </c>
    </row>
    <row r="8" spans="1:3">
      <c r="A8" t="s">
        <v>72</v>
      </c>
      <c r="B8">
        <v>0.1</v>
      </c>
      <c r="C8" t="s">
        <v>85</v>
      </c>
    </row>
    <row r="9" spans="1:3">
      <c r="A9" t="s">
        <v>73</v>
      </c>
      <c r="B9">
        <v>0.1</v>
      </c>
      <c r="C9" t="s">
        <v>86</v>
      </c>
    </row>
    <row r="10" spans="1:3">
      <c r="A10" t="s">
        <v>74</v>
      </c>
      <c r="B10">
        <v>0.1</v>
      </c>
      <c r="C10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3" t="s">
        <v>88</v>
      </c>
      <c r="B1" s="3" t="s">
        <v>89</v>
      </c>
      <c r="C1" s="3" t="s">
        <v>90</v>
      </c>
      <c r="D1" s="3" t="s">
        <v>91</v>
      </c>
    </row>
    <row r="2" spans="1:4">
      <c r="A2" t="s">
        <v>92</v>
      </c>
      <c r="B2" t="s">
        <v>94</v>
      </c>
      <c r="C2">
        <v>389</v>
      </c>
      <c r="D2" t="s">
        <v>96</v>
      </c>
    </row>
    <row r="3" spans="1:4">
      <c r="A3" t="s">
        <v>92</v>
      </c>
      <c r="B3" t="s">
        <v>95</v>
      </c>
      <c r="C3">
        <v>273</v>
      </c>
      <c r="D3" t="s">
        <v>96</v>
      </c>
    </row>
    <row r="4" spans="1:4">
      <c r="A4" t="s">
        <v>93</v>
      </c>
      <c r="B4" t="s">
        <v>94</v>
      </c>
      <c r="C4">
        <v>0</v>
      </c>
      <c r="D4" t="s">
        <v>97</v>
      </c>
    </row>
    <row r="5" spans="1:4">
      <c r="A5" t="s">
        <v>93</v>
      </c>
      <c r="B5" t="s">
        <v>94</v>
      </c>
      <c r="C5">
        <v>2</v>
      </c>
      <c r="D5" t="s">
        <v>98</v>
      </c>
    </row>
    <row r="6" spans="1:4">
      <c r="A6" t="s">
        <v>93</v>
      </c>
      <c r="B6" t="s">
        <v>94</v>
      </c>
      <c r="C6">
        <v>0</v>
      </c>
      <c r="D6" t="s">
        <v>99</v>
      </c>
    </row>
    <row r="7" spans="1:4">
      <c r="A7" t="s">
        <v>93</v>
      </c>
      <c r="B7" t="s">
        <v>94</v>
      </c>
      <c r="C7">
        <v>361</v>
      </c>
      <c r="D7" t="s">
        <v>100</v>
      </c>
    </row>
    <row r="8" spans="1:4">
      <c r="A8" t="s">
        <v>93</v>
      </c>
      <c r="B8" t="s">
        <v>94</v>
      </c>
      <c r="C8">
        <v>2</v>
      </c>
      <c r="D8" t="s">
        <v>101</v>
      </c>
    </row>
    <row r="9" spans="1:4">
      <c r="A9" t="s">
        <v>93</v>
      </c>
      <c r="B9" t="s">
        <v>95</v>
      </c>
      <c r="C9">
        <v>35</v>
      </c>
      <c r="D9" t="s">
        <v>101</v>
      </c>
    </row>
    <row r="10" spans="1:4">
      <c r="A10" t="s">
        <v>93</v>
      </c>
      <c r="B10" t="s">
        <v>94</v>
      </c>
      <c r="C10">
        <v>24</v>
      </c>
      <c r="D10" t="s">
        <v>102</v>
      </c>
    </row>
    <row r="11" spans="1:4">
      <c r="A11" t="s">
        <v>93</v>
      </c>
      <c r="B11" t="s">
        <v>95</v>
      </c>
      <c r="C11">
        <v>238</v>
      </c>
      <c r="D1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oportunidades</vt:lpstr>
      <vt:lpstr>distritos_resumen</vt:lpstr>
      <vt:lpstr>parametros</vt:lpstr>
      <vt:lpstr>log_calidad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2026-01-15T17:40:45Z</dcterms:created>
  <dcterms:modified xsi:type="dcterms:W3CDTF">2026-01-15T17:40:45Z</dcterms:modified>
</cp:coreProperties>
</file>